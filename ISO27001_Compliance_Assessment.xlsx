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verma\Desktop\GRC PROJECTS\data\"/>
    </mc:Choice>
  </mc:AlternateContent>
  <xr:revisionPtr revIDLastSave="0" documentId="13_ncr:1_{3B0B34C7-D54D-4659-9C6C-82D5A5262168}" xr6:coauthVersionLast="47" xr6:coauthVersionMax="47" xr10:uidLastSave="{00000000-0000-0000-0000-000000000000}"/>
  <bookViews>
    <workbookView xWindow="-110" yWindow="-110" windowWidth="19420" windowHeight="12220" xr2:uid="{00000000-000D-0000-FFFF-FFFF00000000}"/>
  </bookViews>
  <sheets>
    <sheet name="Project_Overview" sheetId="1" r:id="rId1"/>
    <sheet name="Management_Summary" sheetId="2" r:id="rId2"/>
    <sheet name="Control_Master" sheetId="3" r:id="rId3"/>
    <sheet name="Gap_Assessment" sheetId="4" r:id="rId4"/>
    <sheet name="Risk_Register" sheetId="5" r:id="rId5"/>
    <sheet name="Remediation_Tracker" sheetId="6" r:id="rId6"/>
    <sheet name="Evidence_Index" sheetId="7" r:id="rId7"/>
    <sheet name="Lookup_Lists" sheetId="8" r:id="rId8"/>
    <sheet name="Data_Dictionary" sheetId="9" r:id="rId9"/>
  </sheets>
  <calcPr calcId="191029"/>
</workbook>
</file>

<file path=xl/calcChain.xml><?xml version="1.0" encoding="utf-8"?>
<calcChain xmlns="http://schemas.openxmlformats.org/spreadsheetml/2006/main">
  <c r="S14" i="5" l="1"/>
  <c r="T14" i="5" s="1"/>
  <c r="J14" i="5"/>
  <c r="K14" i="5" s="1"/>
  <c r="S13" i="5"/>
  <c r="T13" i="5" s="1"/>
  <c r="J13" i="5"/>
  <c r="K13" i="5" s="1"/>
  <c r="T12" i="5"/>
  <c r="S12" i="5"/>
  <c r="K12" i="5"/>
  <c r="J12" i="5"/>
  <c r="T11" i="5"/>
  <c r="S11" i="5"/>
  <c r="K11" i="5"/>
  <c r="J11" i="5"/>
  <c r="T10" i="5"/>
  <c r="S10" i="5"/>
  <c r="K10" i="5"/>
  <c r="J10" i="5"/>
  <c r="T9" i="5"/>
  <c r="S9" i="5"/>
  <c r="K9" i="5"/>
  <c r="J9" i="5"/>
  <c r="T8" i="5"/>
  <c r="S8" i="5"/>
  <c r="K8" i="5"/>
  <c r="J8" i="5"/>
  <c r="T7" i="5"/>
  <c r="S7" i="5"/>
  <c r="K7" i="5"/>
  <c r="J7" i="5"/>
  <c r="T6" i="5"/>
  <c r="S6" i="5"/>
  <c r="K6" i="5"/>
  <c r="J6" i="5"/>
  <c r="T5" i="5"/>
  <c r="S5" i="5"/>
  <c r="K5" i="5"/>
  <c r="J5" i="5"/>
  <c r="T4" i="5"/>
  <c r="S4" i="5"/>
  <c r="K4" i="5"/>
  <c r="J4" i="5"/>
  <c r="T3" i="5"/>
  <c r="S3" i="5"/>
  <c r="K3" i="5"/>
  <c r="B10" i="2" s="1"/>
  <c r="J3" i="5"/>
  <c r="T2" i="5"/>
  <c r="S2" i="5"/>
  <c r="K2" i="5"/>
  <c r="B9" i="2" s="1"/>
  <c r="J2" i="5"/>
  <c r="B14" i="2"/>
  <c r="B13" i="2"/>
  <c r="B6" i="2"/>
  <c r="B5" i="2"/>
  <c r="B4" i="2"/>
  <c r="B3" i="2"/>
  <c r="B7" i="2" s="1"/>
  <c r="B11" i="2" l="1"/>
  <c r="B12" i="2"/>
</calcChain>
</file>

<file path=xl/sharedStrings.xml><?xml version="1.0" encoding="utf-8"?>
<sst xmlns="http://schemas.openxmlformats.org/spreadsheetml/2006/main" count="1405" uniqueCount="759">
  <si>
    <t>Project</t>
  </si>
  <si>
    <t>ISO 27001 Compliance Gap Assessment &amp; Risk Register Dashboard</t>
  </si>
  <si>
    <t>Simulated Organization</t>
  </si>
  <si>
    <t>Northstar Digital Services Pvt. Ltd.</t>
  </si>
  <si>
    <t>Purpose</t>
  </si>
  <si>
    <t>Demonstrate a practical GRC workflow for assessing selected ISO/IEC 27001:2022 Annex A controls, documenting gaps, evaluating risks and tracking remediation.</t>
  </si>
  <si>
    <t>Assessment Scope</t>
  </si>
  <si>
    <t>40 representative controls across Organizational, People, Physical and Technological themes.</t>
  </si>
  <si>
    <t>Assessment Type</t>
  </si>
  <si>
    <t>Portfolio simulation; not a certification audit, conformity assessment or statement of ISO certification.</t>
  </si>
  <si>
    <t>Risk Methodology</t>
  </si>
  <si>
    <t>Inherent Risk Score = Likelihood × Impact, using a 1–5 scale. Risk bands are defined in the Lookup_Lists sheet.</t>
  </si>
  <si>
    <t>Evidence Principle</t>
  </si>
  <si>
    <t>Assessment results are based on simulated evidence references created for this portfolio project.</t>
  </si>
  <si>
    <t>Build Status</t>
  </si>
  <si>
    <t>Excel phase complete. Power BI dashboard is the next phase.</t>
  </si>
  <si>
    <t>Workbook Flow</t>
  </si>
  <si>
    <t>Control_Master → Gap_Assessment → Risk_Register → Remediation_Tracker → Power BI</t>
  </si>
  <si>
    <t>Metric</t>
  </si>
  <si>
    <t>Value</t>
  </si>
  <si>
    <t>Definition</t>
  </si>
  <si>
    <t>Total Controls</t>
  </si>
  <si>
    <t>Finalized representative control universe assessed.</t>
  </si>
  <si>
    <t>Implemented Controls</t>
  </si>
  <si>
    <t>Controls assessed as fully implemented.</t>
  </si>
  <si>
    <t>Partially Implemented Controls</t>
  </si>
  <si>
    <t>Controls with evidence but material improvement needed.</t>
  </si>
  <si>
    <t>Not Implemented Controls</t>
  </si>
  <si>
    <t>Controls without an established implementation.</t>
  </si>
  <si>
    <t>Not Applicable Controls</t>
  </si>
  <si>
    <t>Controls determined not applicable; none used in this simulation.</t>
  </si>
  <si>
    <t>Overall Compliance Score</t>
  </si>
  <si>
    <t>Weighted portfolio score: Implemented = 100%, Partial = 50%, Not Implemented = 0%.</t>
  </si>
  <si>
    <t>Total Risks</t>
  </si>
  <si>
    <t>Risks entered into the risk register from significant gaps.</t>
  </si>
  <si>
    <t>Critical Risks</t>
  </si>
  <si>
    <t>Risks with inherent score 17–25.</t>
  </si>
  <si>
    <t>High Risks</t>
  </si>
  <si>
    <t>Risks with inherent score 10–16.</t>
  </si>
  <si>
    <t>Medium Risks</t>
  </si>
  <si>
    <t>Risks with inherent score 5–9.</t>
  </si>
  <si>
    <t>Low Risks</t>
  </si>
  <si>
    <t>Risks with inherent score 1–4.</t>
  </si>
  <si>
    <t>Open Remediation Actions</t>
  </si>
  <si>
    <t>Actions not yet completed or accepted.</t>
  </si>
  <si>
    <t>Average Remediation Completion</t>
  </si>
  <si>
    <t>Average completion percentage across remediation actions.</t>
  </si>
  <si>
    <t>Control_ID</t>
  </si>
  <si>
    <t>Control_Category</t>
  </si>
  <si>
    <t>Control_Name</t>
  </si>
  <si>
    <t>Control_Objective</t>
  </si>
  <si>
    <t>Assessment_Criteria</t>
  </si>
  <si>
    <t>Evidence_Required</t>
  </si>
  <si>
    <t>Applicable</t>
  </si>
  <si>
    <t>A.5.1</t>
  </si>
  <si>
    <t>Organizational</t>
  </si>
  <si>
    <t>Policies for information security</t>
  </si>
  <si>
    <t>Establish, approve, communicate and periodically review information security policies.</t>
  </si>
  <si>
    <t>Verify approved policy documents, version history, review evidence and communication records.</t>
  </si>
  <si>
    <t>Approved information security policy; review record; communication evidence</t>
  </si>
  <si>
    <t>Yes</t>
  </si>
  <si>
    <t>A.5.2</t>
  </si>
  <si>
    <t>Information security roles and responsibilities</t>
  </si>
  <si>
    <t>Define and assign information security responsibilities and accountability.</t>
  </si>
  <si>
    <t>Check role descriptions, RACI/assignment records and management approvals.</t>
  </si>
  <si>
    <t>RACI matrix; job descriptions; responsibility assignments</t>
  </si>
  <si>
    <t>A.5.4</t>
  </si>
  <si>
    <t>Management responsibilities</t>
  </si>
  <si>
    <t>Ensure management establishes and supports information security responsibilities and practices.</t>
  </si>
  <si>
    <t>Verify management directives, approvals, reviews and evidence of security responsibilities.</t>
  </si>
  <si>
    <t>Management approvals; meeting minutes; directives</t>
  </si>
  <si>
    <t>A.5.7</t>
  </si>
  <si>
    <t>Threat intelligence</t>
  </si>
  <si>
    <t>Collect and use relevant threat information to support information security decisions.</t>
  </si>
  <si>
    <t>Check whether threat information is sourced, reviewed and used in risk or security decisions.</t>
  </si>
  <si>
    <t>Threat reports; intelligence subscriptions; review records</t>
  </si>
  <si>
    <t>A.5.9</t>
  </si>
  <si>
    <t>Inventory of information and other associated assets</t>
  </si>
  <si>
    <t>Maintain an appropriate inventory of information and associated assets.</t>
  </si>
  <si>
    <t>Verify asset inventory completeness, ownership, classification and review frequency.</t>
  </si>
  <si>
    <t>Asset register; ownership records; review evidence</t>
  </si>
  <si>
    <t>A.5.10</t>
  </si>
  <si>
    <t>Acceptable use of information and other associated assets</t>
  </si>
  <si>
    <t>Define acceptable use and handling expectations for organizational information and assets.</t>
  </si>
  <si>
    <t>Check approved acceptable-use requirements and evidence that users acknowledge them.</t>
  </si>
  <si>
    <t>Acceptable-use policy; acknowledgements; training records</t>
  </si>
  <si>
    <t>A.5.12</t>
  </si>
  <si>
    <t>Classification of information</t>
  </si>
  <si>
    <t>Classify information according to organizational security needs.</t>
  </si>
  <si>
    <t>Verify classification scheme, assigned classifications and handling rules.</t>
  </si>
  <si>
    <t>Classification policy; sample classified records; handling rules</t>
  </si>
  <si>
    <t>A.5.14</t>
  </si>
  <si>
    <t>Information transfer</t>
  </si>
  <si>
    <t>Protect information during transfer using defined requirements and approved methods.</t>
  </si>
  <si>
    <t>Check transfer procedures, approved channels and safeguards for sensitive information.</t>
  </si>
  <si>
    <t>Transfer procedure; secure-transfer configuration; agreements</t>
  </si>
  <si>
    <t>A.5.15</t>
  </si>
  <si>
    <t>Access control</t>
  </si>
  <si>
    <t>Establish rules governing logical and physical access to information and associated assets.</t>
  </si>
  <si>
    <t>Verify access-control policy, authorization rules and periodic review mechanisms.</t>
  </si>
  <si>
    <t>Access-control policy; authorization records; review reports</t>
  </si>
  <si>
    <t>A.5.16</t>
  </si>
  <si>
    <t>Identity management</t>
  </si>
  <si>
    <t>Manage identities throughout their lifecycle.</t>
  </si>
  <si>
    <t>Check joiner/mover/leaver processes, unique identities and lifecycle controls.</t>
  </si>
  <si>
    <t>Identity lifecycle procedure; IAM records; termination samples</t>
  </si>
  <si>
    <t>A.5.17</t>
  </si>
  <si>
    <t>Authentication information</t>
  </si>
  <si>
    <t>Protect authentication information through defined management and handling practices.</t>
  </si>
  <si>
    <t>Verify password/authentication requirements and secure handling procedures.</t>
  </si>
  <si>
    <t>Authentication policy; configuration evidence; procedures</t>
  </si>
  <si>
    <t>A.5.18</t>
  </si>
  <si>
    <t>Access rights</t>
  </si>
  <si>
    <t>Provision, review, modify and remove access rights according to business need.</t>
  </si>
  <si>
    <t>Sample access requests, approvals, periodic reviews and removals.</t>
  </si>
  <si>
    <t>Access requests; approval records; access review reports</t>
  </si>
  <si>
    <t>A.5.19</t>
  </si>
  <si>
    <t>Information security in supplier relationships</t>
  </si>
  <si>
    <t>Address information security risks associated with supplier relationships.</t>
  </si>
  <si>
    <t>Check supplier security requirements, due diligence and contractual controls.</t>
  </si>
  <si>
    <t>Supplier security assessment; contracts; due-diligence records</t>
  </si>
  <si>
    <t>A.5.20</t>
  </si>
  <si>
    <t>Addressing information security within supplier agreements</t>
  </si>
  <si>
    <t>Define relevant information security requirements in supplier agreements.</t>
  </si>
  <si>
    <t>Review representative supplier contracts for security clauses and responsibilities.</t>
  </si>
  <si>
    <t>Supplier agreements; security clauses; contract checklist</t>
  </si>
  <si>
    <t>A.5.23</t>
  </si>
  <si>
    <t>Information security for use of cloud services</t>
  </si>
  <si>
    <t>Manage information security risks associated with acquisition, use and exit from cloud services.</t>
  </si>
  <si>
    <t>Verify cloud security requirements, provider assessment, configuration responsibilities and exit planning.</t>
  </si>
  <si>
    <t>Cloud assessment; contracts; configuration baseline; exit plan</t>
  </si>
  <si>
    <t>A.5.24</t>
  </si>
  <si>
    <t>Information security incident management planning and preparation</t>
  </si>
  <si>
    <t>Establish capabilities and responsibilities for preparing to manage information security incidents.</t>
  </si>
  <si>
    <t>Check incident response plan, roles, escalation paths and readiness exercises.</t>
  </si>
  <si>
    <t>Incident response plan; contact list; exercise records</t>
  </si>
  <si>
    <t>A.5.25</t>
  </si>
  <si>
    <t>Assessment and decision on information security events</t>
  </si>
  <si>
    <t>Assess information security events and determine whether they constitute incidents.</t>
  </si>
  <si>
    <t>Verify triage criteria, severity classification and escalation decisions.</t>
  </si>
  <si>
    <t>Incident triage procedure; sample tickets; severity matrix</t>
  </si>
  <si>
    <t>A.5.26</t>
  </si>
  <si>
    <t>Response to information security incidents</t>
  </si>
  <si>
    <t>Respond to information security incidents using defined procedures.</t>
  </si>
  <si>
    <t>Review incident records for containment, eradication, recovery and communications.</t>
  </si>
  <si>
    <t>Incident tickets; response playbooks; post-incident records</t>
  </si>
  <si>
    <t>A.5.27</t>
  </si>
  <si>
    <t>Learning from information security incidents</t>
  </si>
  <si>
    <t>Use incident outcomes to improve information security.</t>
  </si>
  <si>
    <t>Check root-cause analysis, lessons learned and resulting corrective actions.</t>
  </si>
  <si>
    <t>Post-incident reviews; RCA; corrective-action records</t>
  </si>
  <si>
    <t>A.5.30</t>
  </si>
  <si>
    <t>ICT readiness for business continuity</t>
  </si>
  <si>
    <t>Prepare ICT capabilities to support business continuity requirements.</t>
  </si>
  <si>
    <t>Verify continuity requirements, recovery arrangements, testing and documented dependencies.</t>
  </si>
  <si>
    <t>BC/DR plan; RTO/RPO records; test results</t>
  </si>
  <si>
    <t>A.5.31</t>
  </si>
  <si>
    <t>Legal, statutory, regulatory and contractual requirements</t>
  </si>
  <si>
    <t>Identify and maintain applicable information security obligations.</t>
  </si>
  <si>
    <t>Check legal/regulatory register, contractual obligations and review process.</t>
  </si>
  <si>
    <t>Compliance obligations register; contracts; legal review records</t>
  </si>
  <si>
    <t>A.5.34</t>
  </si>
  <si>
    <t>Privacy and protection of PII</t>
  </si>
  <si>
    <t>Identify and manage privacy and personally identifiable information protection requirements.</t>
  </si>
  <si>
    <t>Verify PII inventory, privacy requirements, handling procedures and accountability.</t>
  </si>
  <si>
    <t>PII inventory; privacy policy; processing records</t>
  </si>
  <si>
    <t>A.5.35</t>
  </si>
  <si>
    <t>Independent review of information security</t>
  </si>
  <si>
    <t>Conduct independent reviews of information security management and controls.</t>
  </si>
  <si>
    <t>Check review plan, independence, findings and follow-up actions.</t>
  </si>
  <si>
    <t>Audit/review reports; review plan; action tracker</t>
  </si>
  <si>
    <t>A.5.36</t>
  </si>
  <si>
    <t>Compliance with policies, rules and standards for information security</t>
  </si>
  <si>
    <t>Regularly review compliance with internal information security requirements.</t>
  </si>
  <si>
    <t>Verify compliance checks, findings, exceptions and remediation tracking.</t>
  </si>
  <si>
    <t>Compliance checklists; findings; remediation records</t>
  </si>
  <si>
    <t>A.6.1</t>
  </si>
  <si>
    <t>People</t>
  </si>
  <si>
    <t>Screening</t>
  </si>
  <si>
    <t>Perform appropriate personnel screening before and, where applicable, during employment.</t>
  </si>
  <si>
    <t>Verify screening criteria, completion records and role-based requirements.</t>
  </si>
  <si>
    <t>Screening procedure; sample verification records</t>
  </si>
  <si>
    <t>A.6.3</t>
  </si>
  <si>
    <t>Information security awareness, education and training</t>
  </si>
  <si>
    <t>Provide appropriate security awareness, education and training.</t>
  </si>
  <si>
    <t>Check training content, completion rates, frequency and role-specific training.</t>
  </si>
  <si>
    <t>Training materials; attendance/completion reports</t>
  </si>
  <si>
    <t>A.6.5</t>
  </si>
  <si>
    <t>Responsibilities after termination or change of employment</t>
  </si>
  <si>
    <t>Manage security responsibilities after termination or role change.</t>
  </si>
  <si>
    <t>Sample offboarding/role-change records for access removal and continuing obligations.</t>
  </si>
  <si>
    <t>Offboarding checklist; access removal records; agreements</t>
  </si>
  <si>
    <t>A.6.7</t>
  </si>
  <si>
    <t>Remote working</t>
  </si>
  <si>
    <t>Protect information accessed or processed during remote working.</t>
  </si>
  <si>
    <t>Verify remote-working requirements, endpoint safeguards and secure connectivity.</t>
  </si>
  <si>
    <t>Remote-work policy; VPN/endpoint evidence; user acknowledgements</t>
  </si>
  <si>
    <t>A.7.1</t>
  </si>
  <si>
    <t>Physical</t>
  </si>
  <si>
    <t>Physical security perimeters</t>
  </si>
  <si>
    <t>Define and protect physical security boundaries for relevant facilities.</t>
  </si>
  <si>
    <t>Inspect perimeter controls, access boundaries and documented physical-security requirements.</t>
  </si>
  <si>
    <t>Physical security policy; site controls; inspection records</t>
  </si>
  <si>
    <t>A.7.2</t>
  </si>
  <si>
    <t>Physical entry</t>
  </si>
  <si>
    <t>Control physical access to secure areas.</t>
  </si>
  <si>
    <t>Verify badges, visitor controls, access logs and authorization procedures.</t>
  </si>
  <si>
    <t>Access logs; visitor register; badge records</t>
  </si>
  <si>
    <t>A.7.4</t>
  </si>
  <si>
    <t>Physical security monitoring</t>
  </si>
  <si>
    <t>Monitor relevant premises for unauthorized physical access.</t>
  </si>
  <si>
    <t>Check CCTV/alarm coverage, monitoring responsibilities and retention arrangements.</t>
  </si>
  <si>
    <t>CCTV/alarm records; monitoring procedure; retention settings</t>
  </si>
  <si>
    <t>A.7.7</t>
  </si>
  <si>
    <t>Clear desk and clear screen</t>
  </si>
  <si>
    <t>Reduce exposure of sensitive information through clear-desk and clear-screen practices.</t>
  </si>
  <si>
    <t>Check policy, user guidance and evidence of periodic compliance checks where applicable.</t>
  </si>
  <si>
    <t>Clear-desk policy; awareness records; inspection checklist</t>
  </si>
  <si>
    <t>A.7.10</t>
  </si>
  <si>
    <t>Storage media</t>
  </si>
  <si>
    <t>Manage storage media through acquisition, use, transport and disposal.</t>
  </si>
  <si>
    <t>Verify media handling, labeling, transport and secure disposal practices.</t>
  </si>
  <si>
    <t>Media register; disposal certificates; handling procedure</t>
  </si>
  <si>
    <t>A.8.2</t>
  </si>
  <si>
    <t>Technological</t>
  </si>
  <si>
    <t>Privileged access rights</t>
  </si>
  <si>
    <t>Restrict and manage privileged access according to business need.</t>
  </si>
  <si>
    <t>Review privileged accounts, approvals, MFA, monitoring and periodic recertification.</t>
  </si>
  <si>
    <t>Privileged account list; approvals; access reviews</t>
  </si>
  <si>
    <t>A.8.5</t>
  </si>
  <si>
    <t>Secure authentication</t>
  </si>
  <si>
    <t>Implement secure authentication mechanisms appropriate to access risk.</t>
  </si>
  <si>
    <t>Check MFA, password policy, authentication configuration and exception handling.</t>
  </si>
  <si>
    <t>IAM configuration; MFA reports; authentication policy</t>
  </si>
  <si>
    <t>A.8.7</t>
  </si>
  <si>
    <t>Protection against malware</t>
  </si>
  <si>
    <t>Protect systems against malware using preventive and detective measures.</t>
  </si>
  <si>
    <t>Verify endpoint protection coverage, update status, alerts and response procedures.</t>
  </si>
  <si>
    <t>EDR/antimalware console; coverage report; alert samples</t>
  </si>
  <si>
    <t>A.8.8</t>
  </si>
  <si>
    <t>Management of technical vulnerabilities</t>
  </si>
  <si>
    <t>Identify, evaluate and address technical vulnerabilities.</t>
  </si>
  <si>
    <t>Check vulnerability scanning, severity assessment, remediation SLAs and exceptions.</t>
  </si>
  <si>
    <t>Vulnerability reports; remediation tickets; exception records</t>
  </si>
  <si>
    <t>A.8.13</t>
  </si>
  <si>
    <t>Information backup</t>
  </si>
  <si>
    <t>Maintain backups appropriate to business and information security requirements.</t>
  </si>
  <si>
    <t>Verify backup scope, frequency, protection, retention and restoration testing.</t>
  </si>
  <si>
    <t>Backup reports; retention settings; restore-test evidence</t>
  </si>
  <si>
    <t>A.8.15</t>
  </si>
  <si>
    <t>Logging</t>
  </si>
  <si>
    <t>Generate and protect logs needed for security and operational monitoring.</t>
  </si>
  <si>
    <t>Check logging coverage, retention, protection and review responsibilities.</t>
  </si>
  <si>
    <t>Log configuration; retention settings; review records</t>
  </si>
  <si>
    <t>A.8.16</t>
  </si>
  <si>
    <t>Monitoring activities</t>
  </si>
  <si>
    <t>Monitor systems and networks for relevant anomalies and security events.</t>
  </si>
  <si>
    <t>Verify monitoring coverage, alert handling, escalation and review.</t>
  </si>
  <si>
    <t>SIEM/monitoring reports; alert tickets; escalation records</t>
  </si>
  <si>
    <t>Assessment_ID</t>
  </si>
  <si>
    <t>Assessment_Date</t>
  </si>
  <si>
    <t>Status</t>
  </si>
  <si>
    <t>Maturity</t>
  </si>
  <si>
    <t>Evidence_Available</t>
  </si>
  <si>
    <t>Evidence_Reference</t>
  </si>
  <si>
    <t>Gap_Description</t>
  </si>
  <si>
    <t>Assessor_Notes</t>
  </si>
  <si>
    <t>Gap_Owner</t>
  </si>
  <si>
    <t>Priority</t>
  </si>
  <si>
    <t>GA-001</t>
  </si>
  <si>
    <t>Implemented</t>
  </si>
  <si>
    <t>Defined / Operating</t>
  </si>
  <si>
    <t>ISMS-POL-001 v2.1</t>
  </si>
  <si>
    <t>Policy approved by management and reviewed in June 2026.</t>
  </si>
  <si>
    <t>Information Security</t>
  </si>
  <si>
    <t>Low</t>
  </si>
  <si>
    <t>GA-002</t>
  </si>
  <si>
    <t>ISMS-RACI-001</t>
  </si>
  <si>
    <t>Security roles are assigned across IT, HR, Legal and management.</t>
  </si>
  <si>
    <t>GA-003</t>
  </si>
  <si>
    <t>MGMT-MIN-014</t>
  </si>
  <si>
    <t>Management reviews security responsibilities during quarterly governance meetings.</t>
  </si>
  <si>
    <t>GA-004</t>
  </si>
  <si>
    <t>Partially Implemented</t>
  </si>
  <si>
    <t>Defined / Partially Operating</t>
  </si>
  <si>
    <t>Partial</t>
  </si>
  <si>
    <t>TI-LOG-003</t>
  </si>
  <si>
    <t>Formalize threat intelligence sources, review cadence and decision records.</t>
  </si>
  <si>
    <t>Threat feeds are reviewed by IT, but there is no documented recurring threat-intelligence review process.</t>
  </si>
  <si>
    <t>Medium</t>
  </si>
  <si>
    <t>GA-005</t>
  </si>
  <si>
    <t>ASSET-REG-2026Q2</t>
  </si>
  <si>
    <t>Expand asset inventory and establish quarterly ownership review.</t>
  </si>
  <si>
    <t>Hardware is inventoried, but SaaS and information assets are not consistently mapped to owners.</t>
  </si>
  <si>
    <t>GA-006</t>
  </si>
  <si>
    <t>AUP-001 v2.0</t>
  </si>
  <si>
    <t>Acceptable-use policy is approved and acknowledged by employees.</t>
  </si>
  <si>
    <t>GA-007</t>
  </si>
  <si>
    <t>INFO-CLASS-001</t>
  </si>
  <si>
    <t>Improve labeling guidance and perform periodic compliance checks.</t>
  </si>
  <si>
    <t>Classification levels exist, but sampled documents were inconsistently labeled.</t>
  </si>
  <si>
    <t>GA-008</t>
  </si>
  <si>
    <t>TRN-STD-002</t>
  </si>
  <si>
    <t>Standardize secure-transfer requirements in supplier workflows.</t>
  </si>
  <si>
    <t>Approved transfer methods exist, but supplier transfer requirements are not consistently documented.</t>
  </si>
  <si>
    <t>GA-009</t>
  </si>
  <si>
    <t>ACC-POL-001</t>
  </si>
  <si>
    <t>Access control policy and authorization principles are established.</t>
  </si>
  <si>
    <t>GA-010</t>
  </si>
  <si>
    <t>IAM-SOP-004</t>
  </si>
  <si>
    <t>Joiner/mover/leaver workflow is integrated with HR tickets.</t>
  </si>
  <si>
    <t>GA-011</t>
  </si>
  <si>
    <t>AUTH-POL-002</t>
  </si>
  <si>
    <t>Authentication requirements and credential handling procedures are documented.</t>
  </si>
  <si>
    <t>GA-012</t>
  </si>
  <si>
    <t>ACC-REV-2026Q2</t>
  </si>
  <si>
    <t>Complete quarterly access certification for all critical applications.</t>
  </si>
  <si>
    <t>Access requests are approved, but quarterly recertification coverage is incomplete.</t>
  </si>
  <si>
    <t>High</t>
  </si>
  <si>
    <t>GA-013</t>
  </si>
  <si>
    <t>SUP-SEC-REG-001</t>
  </si>
  <si>
    <t>Extend risk-based supplier assessment coverage.</t>
  </si>
  <si>
    <t>Supplier security due diligence exists for critical vendors but not consistently for medium-risk suppliers.</t>
  </si>
  <si>
    <t>GA-014</t>
  </si>
  <si>
    <t>SUP-CON-CHK-001</t>
  </si>
  <si>
    <t>Refresh legacy agreements using approved security clause checklist.</t>
  </si>
  <si>
    <t>Security clauses are included in major supplier contracts; legacy contracts are not consistently updated.</t>
  </si>
  <si>
    <t>GA-015</t>
  </si>
  <si>
    <t>CLOUD-ASSMT-002</t>
  </si>
  <si>
    <t>Document cloud exit strategy and shared-responsibility ownership.</t>
  </si>
  <si>
    <t>Cloud providers are assessed, but formal exit plans and configuration ownership are inconsistent.</t>
  </si>
  <si>
    <t>GA-016</t>
  </si>
  <si>
    <t>IR-PLAN-001 v3.0</t>
  </si>
  <si>
    <t>Incident response plan includes roles, escalation and communications.</t>
  </si>
  <si>
    <t>GA-017</t>
  </si>
  <si>
    <t>IR-TRIAGE-001</t>
  </si>
  <si>
    <t>Implement mandatory severity classification field.</t>
  </si>
  <si>
    <t>Events are triaged, but severity criteria are not consistently recorded in tickets.</t>
  </si>
  <si>
    <t>GA-018</t>
  </si>
  <si>
    <t>IR-REC-2026-04</t>
  </si>
  <si>
    <t>Recent incident records demonstrate containment and recovery steps.</t>
  </si>
  <si>
    <t>GA-019</t>
  </si>
  <si>
    <t>IR-RCA-LOG-001</t>
  </si>
  <si>
    <t>Standardize post-incident review criteria.</t>
  </si>
  <si>
    <t>Lessons learned are captured for major incidents but not consistently for low-severity incidents.</t>
  </si>
  <si>
    <t>GA-020</t>
  </si>
  <si>
    <t>BCP-ICT-001</t>
  </si>
  <si>
    <t>Expand continuity test scope to critical application dependencies.</t>
  </si>
  <si>
    <t>Backups and recovery arrangements exist, but not all critical application dependencies are included in continuity testing.</t>
  </si>
  <si>
    <t>GA-021</t>
  </si>
  <si>
    <t>LEGAL-REG-001</t>
  </si>
  <si>
    <t>Applicable legal and contractual obligations are recorded and reviewed.</t>
  </si>
  <si>
    <t>GA-022</t>
  </si>
  <si>
    <t>PRIV-REG-001</t>
  </si>
  <si>
    <t>Complete PII inventory and ownership mapping.</t>
  </si>
  <si>
    <t>PII processing is documented for major systems, but the inventory is incomplete for several SaaS tools.</t>
  </si>
  <si>
    <t>GA-023</t>
  </si>
  <si>
    <t>Not Implemented</t>
  </si>
  <si>
    <t>Not Established</t>
  </si>
  <si>
    <t>No</t>
  </si>
  <si>
    <t>AUD-PLAN-001</t>
  </si>
  <si>
    <t>Schedule an independent ISMS/security review and track findings.</t>
  </si>
  <si>
    <t>No independent information security review has been completed during the assessment period.</t>
  </si>
  <si>
    <t>Critical</t>
  </si>
  <si>
    <t>GA-024</t>
  </si>
  <si>
    <t>COMP-CHECK-2026Q2</t>
  </si>
  <si>
    <t>Standardize compliance evidence retention and exception tracking.</t>
  </si>
  <si>
    <t>Internal compliance checks are performed, but evidence retention is inconsistent.</t>
  </si>
  <si>
    <t>GA-025</t>
  </si>
  <si>
    <t>HR-SCR-001</t>
  </si>
  <si>
    <t>Pre-employment screening is performed according to role requirements.</t>
  </si>
  <si>
    <t>HR / Information Security</t>
  </si>
  <si>
    <t>GA-026</t>
  </si>
  <si>
    <t>SEC-TRAIN-2026</t>
  </si>
  <si>
    <t>Annual awareness training reached 96% completion; remaining users are tracked.</t>
  </si>
  <si>
    <t>GA-027</t>
  </si>
  <si>
    <t>HR-OFF-001</t>
  </si>
  <si>
    <t>Termination workflow includes access removal and continuing obligations.</t>
  </si>
  <si>
    <t>GA-028</t>
  </si>
  <si>
    <t>REMOTE-SEC-001</t>
  </si>
  <si>
    <t>Extend endpoint compliance monitoring to contractor devices.</t>
  </si>
  <si>
    <t>Remote work requirements exist, but endpoint compliance reporting is incomplete for contractors.</t>
  </si>
  <si>
    <t>GA-029</t>
  </si>
  <si>
    <t>PHY-SEC-001</t>
  </si>
  <si>
    <t>Office perimeter controls and restricted-area boundaries are documented.</t>
  </si>
  <si>
    <t>Facilities / Security</t>
  </si>
  <si>
    <t>GA-030</t>
  </si>
  <si>
    <t>PHY-ACC-LOG-2026</t>
  </si>
  <si>
    <t>Badge access and visitor registration are in use.</t>
  </si>
  <si>
    <t>GA-031</t>
  </si>
  <si>
    <t>CCTV-LOG-001</t>
  </si>
  <si>
    <t>Document retention verification and periodic monitoring checks.</t>
  </si>
  <si>
    <t>CCTV covers critical areas, but retention verification is not consistently documented.</t>
  </si>
  <si>
    <t>GA-032</t>
  </si>
  <si>
    <t>CDCS-POL-001</t>
  </si>
  <si>
    <t>Clear desk and clear screen requirements are communicated to staff.</t>
  </si>
  <si>
    <t>GA-033</t>
  </si>
  <si>
    <t>MEDIA-REG-001</t>
  </si>
  <si>
    <t>Complete media inventory and disposal evidence reconciliation.</t>
  </si>
  <si>
    <t>Media disposal is controlled, but older removable media records are incomplete.</t>
  </si>
  <si>
    <t>GA-034</t>
  </si>
  <si>
    <t>PAM-REG-001</t>
  </si>
  <si>
    <t>Complete privileged access recertification and exception review.</t>
  </si>
  <si>
    <t>Privileged accounts are inventoried, but quarterly recertification is incomplete.</t>
  </si>
  <si>
    <t>IT Security</t>
  </si>
  <si>
    <t>GA-035</t>
  </si>
  <si>
    <t>MFA-REPORT-2026Q2</t>
  </si>
  <si>
    <t>Extend MFA coverage to remaining legacy applications.</t>
  </si>
  <si>
    <t>MFA is enabled for major cloud services but not yet universal for legacy internal applications.</t>
  </si>
  <si>
    <t>GA-036</t>
  </si>
  <si>
    <t>EDR-COV-2026Q2</t>
  </si>
  <si>
    <t>Endpoint protection coverage is 99% with centralized alerting.</t>
  </si>
  <si>
    <t>GA-037</t>
  </si>
  <si>
    <t>VULN-SCAN-2026Q2</t>
  </si>
  <si>
    <t>Strengthen remediation tracking and escalation for overdue vulnerabilities.</t>
  </si>
  <si>
    <t>Monthly scanning occurs, but some high-severity findings exceed remediation SLA.</t>
  </si>
  <si>
    <t>GA-038</t>
  </si>
  <si>
    <t>BKP-REP-2026Q2</t>
  </si>
  <si>
    <t>Critical systems are backed up and restore tests are performed.</t>
  </si>
  <si>
    <t>GA-039</t>
  </si>
  <si>
    <t>LOG-STD-001</t>
  </si>
  <si>
    <t>Standardize retention requirements and coverage.</t>
  </si>
  <si>
    <t>Central logging exists for key systems, but log retention is inconsistent across legacy applications.</t>
  </si>
  <si>
    <t>GA-040</t>
  </si>
  <si>
    <t>MON-001</t>
  </si>
  <si>
    <t>Implement centralized monitoring and alert escalation for critical systems.</t>
  </si>
  <si>
    <t>No formal centralized monitoring capability is currently in place for several critical systems.</t>
  </si>
  <si>
    <t>Risk_ID</t>
  </si>
  <si>
    <t>Risk_Title</t>
  </si>
  <si>
    <t>Risk_Description</t>
  </si>
  <si>
    <t>Asset</t>
  </si>
  <si>
    <t>Threat</t>
  </si>
  <si>
    <t>Vulnerability</t>
  </si>
  <si>
    <t>Likelihood</t>
  </si>
  <si>
    <t>Impact</t>
  </si>
  <si>
    <t>Inherent_Risk_Score</t>
  </si>
  <si>
    <t>Inherent_Risk_Level</t>
  </si>
  <si>
    <t>Risk_Owner</t>
  </si>
  <si>
    <t>Treatment</t>
  </si>
  <si>
    <t>Mitigation_Action</t>
  </si>
  <si>
    <t>Target_Date</t>
  </si>
  <si>
    <t>Residual_Likelihood</t>
  </si>
  <si>
    <t>Residual_Impact</t>
  </si>
  <si>
    <t>Residual_Risk_Score</t>
  </si>
  <si>
    <t>Residual_Risk_Level</t>
  </si>
  <si>
    <t>R-001</t>
  </si>
  <si>
    <t>Inadequate threat intelligence process</t>
  </si>
  <si>
    <t>Security decisions may not consistently incorporate current threat information.</t>
  </si>
  <si>
    <t>Security decision process</t>
  </si>
  <si>
    <t>Insufficient documented threat-intelligence review</t>
  </si>
  <si>
    <t>Threat intelligence not formally reviewed on a recurring basis</t>
  </si>
  <si>
    <t>Mitigate</t>
  </si>
  <si>
    <t>Formalize threat intelligence sources, review cadence and decision records</t>
  </si>
  <si>
    <t>2026-09-30</t>
  </si>
  <si>
    <t>Open</t>
  </si>
  <si>
    <t>R-002</t>
  </si>
  <si>
    <t>Incomplete asset inventory</t>
  </si>
  <si>
    <t>Untracked SaaS or information assets may remain outside security controls.</t>
  </si>
  <si>
    <t>Information assets / SaaS</t>
  </si>
  <si>
    <t>Incomplete ownership mapping</t>
  </si>
  <si>
    <t>SaaS and information assets are not consistently mapped to owners</t>
  </si>
  <si>
    <t>IT Operations</t>
  </si>
  <si>
    <t>Complete asset discovery and quarterly ownership certification</t>
  </si>
  <si>
    <t>2026-09-20</t>
  </si>
  <si>
    <t>R-003</t>
  </si>
  <si>
    <t>Inconsistent information classification</t>
  </si>
  <si>
    <t>Sensitive information may receive insufficient handling protection.</t>
  </si>
  <si>
    <t>Business information</t>
  </si>
  <si>
    <t>Inconsistent labeling</t>
  </si>
  <si>
    <t>Sampled information was not consistently labeled</t>
  </si>
  <si>
    <t>Reinforce classification guidance and conduct periodic checks</t>
  </si>
  <si>
    <t>2026-09-25</t>
  </si>
  <si>
    <t>R-004</t>
  </si>
  <si>
    <t>Incomplete access recertification</t>
  </si>
  <si>
    <t>Excess or stale access may remain active longer than necessary.</t>
  </si>
  <si>
    <t>Critical applications</t>
  </si>
  <si>
    <t>Incomplete periodic review</t>
  </si>
  <si>
    <t>Quarterly access recertification does not cover all critical applications</t>
  </si>
  <si>
    <t>Complete quarterly access certification for critical applications</t>
  </si>
  <si>
    <t>2026-09-15</t>
  </si>
  <si>
    <t>In Progress</t>
  </si>
  <si>
    <t>R-005</t>
  </si>
  <si>
    <t>Weak cloud exit planning</t>
  </si>
  <si>
    <t>The organization may face security and continuity issues when terminating a cloud service.</t>
  </si>
  <si>
    <t>Cloud services</t>
  </si>
  <si>
    <t>Incomplete exit planning</t>
  </si>
  <si>
    <t>Formal cloud exit plans are inconsistent</t>
  </si>
  <si>
    <t>Document exit strategy and shared-responsibility ownership</t>
  </si>
  <si>
    <t>2026-10-10</t>
  </si>
  <si>
    <t>R-006</t>
  </si>
  <si>
    <t>Inconsistent incident severity classification</t>
  </si>
  <si>
    <t>Security incidents may not receive consistent prioritization or escalation.</t>
  </si>
  <si>
    <t>Incident management</t>
  </si>
  <si>
    <t>Inconsistent ticket classification</t>
  </si>
  <si>
    <t>Severity criteria are not consistently recorded</t>
  </si>
  <si>
    <t>SOC / IT Security</t>
  </si>
  <si>
    <t>Make severity classification mandatory in incident workflow</t>
  </si>
  <si>
    <t>2026-09-10</t>
  </si>
  <si>
    <t>R-007</t>
  </si>
  <si>
    <t>Incomplete PII inventory</t>
  </si>
  <si>
    <t>Personal information may be processed without complete visibility of ownership and handling requirements.</t>
  </si>
  <si>
    <t>PII / customer information</t>
  </si>
  <si>
    <t>Incomplete PII mapping</t>
  </si>
  <si>
    <t>Several SaaS tools are missing from the PII inventory</t>
  </si>
  <si>
    <t>Privacy / Legal</t>
  </si>
  <si>
    <t>Complete PII inventory and ownership mapping</t>
  </si>
  <si>
    <t>R-008</t>
  </si>
  <si>
    <t>No independent security review</t>
  </si>
  <si>
    <t>Control weaknesses may remain unidentified due to lack of independent challenge.</t>
  </si>
  <si>
    <t>ISMS / security governance</t>
  </si>
  <si>
    <t>No independent review</t>
  </si>
  <si>
    <t>No independent information security review completed in the period</t>
  </si>
  <si>
    <t>CISO / Management</t>
  </si>
  <si>
    <t>Schedule independent ISMS/security review and track findings</t>
  </si>
  <si>
    <t>2026-10-15</t>
  </si>
  <si>
    <t>R-009</t>
  </si>
  <si>
    <t>Incomplete contractor endpoint visibility</t>
  </si>
  <si>
    <t>Unmanaged contractor devices may introduce malware or data leakage risk.</t>
  </si>
  <si>
    <t>Endpoint devices</t>
  </si>
  <si>
    <t>Incomplete compliance monitoring</t>
  </si>
  <si>
    <t>Endpoint compliance reporting does not fully cover contractors</t>
  </si>
  <si>
    <t>Extend endpoint compliance monitoring to contractor devices</t>
  </si>
  <si>
    <t>R-010</t>
  </si>
  <si>
    <t>Privileged access recertification gap</t>
  </si>
  <si>
    <t>Excessive privileged access may remain active, increasing compromise impact.</t>
  </si>
  <si>
    <t>Privileged accounts</t>
  </si>
  <si>
    <t>Incomplete review</t>
  </si>
  <si>
    <t>Quarterly privileged access recertification is incomplete</t>
  </si>
  <si>
    <t>Complete privileged access recertification and exception review</t>
  </si>
  <si>
    <t>R-011</t>
  </si>
  <si>
    <t>Incomplete MFA coverage</t>
  </si>
  <si>
    <t>Legacy applications may be accessed with weaker authentication controls.</t>
  </si>
  <si>
    <t>Legacy applications</t>
  </si>
  <si>
    <t>MFA not universal</t>
  </si>
  <si>
    <t>MFA is not yet enabled for all legacy internal applications</t>
  </si>
  <si>
    <t>Extend MFA to remaining legacy applications</t>
  </si>
  <si>
    <t>2026-10-01</t>
  </si>
  <si>
    <t>R-012</t>
  </si>
  <si>
    <t>Overdue vulnerability remediation</t>
  </si>
  <si>
    <t>Known vulnerabilities may remain exploitable beyond defined remediation expectations.</t>
  </si>
  <si>
    <t>IT infrastructure</t>
  </si>
  <si>
    <t>Remediation SLA breach</t>
  </si>
  <si>
    <t>Some high-severity vulnerabilities exceed remediation SLA</t>
  </si>
  <si>
    <t>Escalate overdue high-severity vulnerabilities and track exceptions</t>
  </si>
  <si>
    <t>2026-08-31</t>
  </si>
  <si>
    <t>R-013</t>
  </si>
  <si>
    <t>Insufficient centralized monitoring</t>
  </si>
  <si>
    <t>Security events in critical systems may not be detected promptly.</t>
  </si>
  <si>
    <t>Critical systems</t>
  </si>
  <si>
    <t>Monitoring coverage gap</t>
  </si>
  <si>
    <t>Several critical systems lack centralized monitoring and alert escalation</t>
  </si>
  <si>
    <t>Implement centralized monitoring for critical systems</t>
  </si>
  <si>
    <t>2026-11-15</t>
  </si>
  <si>
    <t>Action_ID</t>
  </si>
  <si>
    <t>Gap</t>
  </si>
  <si>
    <t>Remediation_Action</t>
  </si>
  <si>
    <t>Owner</t>
  </si>
  <si>
    <t>Start_Date</t>
  </si>
  <si>
    <t>Completion_Percentage</t>
  </si>
  <si>
    <t>Closure_Notes</t>
  </si>
  <si>
    <t>ACT-001</t>
  </si>
  <si>
    <t>Threat intelligence review process is not formalized</t>
  </si>
  <si>
    <t>Define approved intelligence sources, monthly review cadence and decision log.</t>
  </si>
  <si>
    <t>Threat intelligence review log</t>
  </si>
  <si>
    <t>ACT-002</t>
  </si>
  <si>
    <t>Asset inventory does not fully cover SaaS/information assets</t>
  </si>
  <si>
    <t>Complete discovery, assign owners and establish quarterly review.</t>
  </si>
  <si>
    <t>Updated asset register and review record</t>
  </si>
  <si>
    <t>ACT-003</t>
  </si>
  <si>
    <t>Information labeling is inconsistent</t>
  </si>
  <si>
    <t>Refresh classification guidance and perform sample compliance checks.</t>
  </si>
  <si>
    <t>Classification compliance check</t>
  </si>
  <si>
    <t>ACT-004</t>
  </si>
  <si>
    <t>Quarterly access recertification is incomplete</t>
  </si>
  <si>
    <t>Complete certification for all critical applications and document exceptions.</t>
  </si>
  <si>
    <t>Signed access certification report</t>
  </si>
  <si>
    <t>ACT-005</t>
  </si>
  <si>
    <t>Cloud exit planning is inconsistent</t>
  </si>
  <si>
    <t>Create exit checklist, data return/deletion requirements and ownership matrix.</t>
  </si>
  <si>
    <t>Approved cloud exit plan</t>
  </si>
  <si>
    <t>ACT-006</t>
  </si>
  <si>
    <t>Incident severity is not consistently recorded</t>
  </si>
  <si>
    <t>Make severity classification mandatory in incident workflow.</t>
  </si>
  <si>
    <t>Updated incident workflow and sample tickets</t>
  </si>
  <si>
    <t>ACT-007</t>
  </si>
  <si>
    <t>PII inventory is incomplete for some SaaS tools</t>
  </si>
  <si>
    <t>Complete PII discovery, ownership mapping and processing register updates.</t>
  </si>
  <si>
    <t>Updated PII inventory</t>
  </si>
  <si>
    <t>ACT-008</t>
  </si>
  <si>
    <t>Independent security review has not been performed</t>
  </si>
  <si>
    <t>Schedule independent review, record findings and assign corrective actions.</t>
  </si>
  <si>
    <t>Independent review report</t>
  </si>
  <si>
    <t>ACT-009</t>
  </si>
  <si>
    <t>Contractor endpoint compliance visibility is incomplete</t>
  </si>
  <si>
    <t>Endpoint compliance report</t>
  </si>
  <si>
    <t>ACT-010</t>
  </si>
  <si>
    <t>Privileged access recertification is incomplete</t>
  </si>
  <si>
    <t>Complete quarterly privileged access certification and exception review.</t>
  </si>
  <si>
    <t>Privileged access review report</t>
  </si>
  <si>
    <t>ACT-011</t>
  </si>
  <si>
    <t>MFA is not universal for legacy applications</t>
  </si>
  <si>
    <t>Implement MFA for remaining legacy applications using approved compensating controls where necessary.</t>
  </si>
  <si>
    <t>MFA coverage report</t>
  </si>
  <si>
    <t>ACT-012</t>
  </si>
  <si>
    <t>High-severity vulnerability remediation exceeds SLA</t>
  </si>
  <si>
    <t>Escalate overdue vulnerabilities, assign owners and document approved exceptions.</t>
  </si>
  <si>
    <t>Vulnerability remediation report</t>
  </si>
  <si>
    <t>ACT-013</t>
  </si>
  <si>
    <t>Centralized monitoring is missing for several critical systems</t>
  </si>
  <si>
    <t>Implement monitoring, alert routing and escalation for critical systems.</t>
  </si>
  <si>
    <t>Monitoring coverage report and alert test evidence</t>
  </si>
  <si>
    <t>Evidence_ID</t>
  </si>
  <si>
    <t>Evidence_Type</t>
  </si>
  <si>
    <t>Related_Control</t>
  </si>
  <si>
    <t>Related_Assessment</t>
  </si>
  <si>
    <t>Description</t>
  </si>
  <si>
    <t>Review_Status</t>
  </si>
  <si>
    <t>Notes</t>
  </si>
  <si>
    <t>EV-001</t>
  </si>
  <si>
    <t>Policy</t>
  </si>
  <si>
    <t>Approved information security policy, version history and review record.</t>
  </si>
  <si>
    <t>Available</t>
  </si>
  <si>
    <t>Simulated evidence reference</t>
  </si>
  <si>
    <t>EV-002</t>
  </si>
  <si>
    <t>RACI</t>
  </si>
  <si>
    <t>Information security responsibilities and RACI matrix.</t>
  </si>
  <si>
    <t>EV-003</t>
  </si>
  <si>
    <t>Management Record</t>
  </si>
  <si>
    <t>Quarterly security governance meeting minutes.</t>
  </si>
  <si>
    <t>Management</t>
  </si>
  <si>
    <t>EV-004</t>
  </si>
  <si>
    <t>Threat Intelligence Record</t>
  </si>
  <si>
    <t>Threat source review record and intelligence log.</t>
  </si>
  <si>
    <t>Formal recurring review not yet established</t>
  </si>
  <si>
    <t>EV-005</t>
  </si>
  <si>
    <t>Asset Register</t>
  </si>
  <si>
    <t>Hardware and application asset register.</t>
  </si>
  <si>
    <t>SaaS/information ownership incomplete</t>
  </si>
  <si>
    <t>EV-006</t>
  </si>
  <si>
    <t>Classification Policy</t>
  </si>
  <si>
    <t>Information classification scheme and samples.</t>
  </si>
  <si>
    <t>Labeling consistency gap</t>
  </si>
  <si>
    <t>EV-007</t>
  </si>
  <si>
    <t>Access Review</t>
  </si>
  <si>
    <t>Quarterly access recertification report.</t>
  </si>
  <si>
    <t>Coverage incomplete</t>
  </si>
  <si>
    <t>EV-008</t>
  </si>
  <si>
    <t>Supplier Assessment</t>
  </si>
  <si>
    <t>Supplier security due diligence record.</t>
  </si>
  <si>
    <t>Procurement / Security</t>
  </si>
  <si>
    <t>Coverage varies by supplier risk</t>
  </si>
  <si>
    <t>EV-009</t>
  </si>
  <si>
    <t>Cloud Assessment</t>
  </si>
  <si>
    <t>Cloud provider security assessment.</t>
  </si>
  <si>
    <t>Exit planning gap</t>
  </si>
  <si>
    <t>EV-010</t>
  </si>
  <si>
    <t>Incident Plan</t>
  </si>
  <si>
    <t>Incident response plan and escalation matrix.</t>
  </si>
  <si>
    <t>EV-011</t>
  </si>
  <si>
    <t>PII Inventory</t>
  </si>
  <si>
    <t>PII processing inventory.</t>
  </si>
  <si>
    <t>SaaS coverage incomplete</t>
  </si>
  <si>
    <t>EV-012</t>
  </si>
  <si>
    <t>Independent Review</t>
  </si>
  <si>
    <t>Independent security review report.</t>
  </si>
  <si>
    <t>Missing</t>
  </si>
  <si>
    <t>Not yet performed</t>
  </si>
  <si>
    <t>EV-013</t>
  </si>
  <si>
    <t>Training Report</t>
  </si>
  <si>
    <t>Security awareness completion report.</t>
  </si>
  <si>
    <t>HR</t>
  </si>
  <si>
    <t>96% completion</t>
  </si>
  <si>
    <t>EV-014</t>
  </si>
  <si>
    <t>Physical Access Log</t>
  </si>
  <si>
    <t>Badge and visitor records.</t>
  </si>
  <si>
    <t>Facilities</t>
  </si>
  <si>
    <t>Sampled records</t>
  </si>
  <si>
    <t>EV-015</t>
  </si>
  <si>
    <t>Privileged Access Review</t>
  </si>
  <si>
    <t>Privileged account inventory and certification.</t>
  </si>
  <si>
    <t>Quarterly recertification incomplete</t>
  </si>
  <si>
    <t>EV-016</t>
  </si>
  <si>
    <t>MFA Report</t>
  </si>
  <si>
    <t>MFA coverage report.</t>
  </si>
  <si>
    <t>Legacy applications excluded</t>
  </si>
  <si>
    <t>EV-017</t>
  </si>
  <si>
    <t>Vulnerability Report</t>
  </si>
  <si>
    <t>Monthly vulnerability scan and remediation report.</t>
  </si>
  <si>
    <t>Some high findings overdue</t>
  </si>
  <si>
    <t>EV-018</t>
  </si>
  <si>
    <t>Backup Report</t>
  </si>
  <si>
    <t>Backup and restore test report.</t>
  </si>
  <si>
    <t>EV-019</t>
  </si>
  <si>
    <t>Logging Standard</t>
  </si>
  <si>
    <t>Central logging standard and retention settings.</t>
  </si>
  <si>
    <t>Legacy retention inconsistent</t>
  </si>
  <si>
    <t>EV-020</t>
  </si>
  <si>
    <t>Monitoring Assessment</t>
  </si>
  <si>
    <t>Monitoring coverage assessment.</t>
  </si>
  <si>
    <t>Centralized monitoring gap</t>
  </si>
  <si>
    <t>Assessment_Status</t>
  </si>
  <si>
    <t>Risk_Treatment</t>
  </si>
  <si>
    <t>Risk_Status</t>
  </si>
  <si>
    <t>Remediation_Status</t>
  </si>
  <si>
    <t>Risk_Band</t>
  </si>
  <si>
    <t>Score</t>
  </si>
  <si>
    <t>Risk Level</t>
  </si>
  <si>
    <t>Response</t>
  </si>
  <si>
    <t>1–4</t>
  </si>
  <si>
    <t>Routine monitoring</t>
  </si>
  <si>
    <t>Accept</t>
  </si>
  <si>
    <t>5–9</t>
  </si>
  <si>
    <t>Planned treatment</t>
  </si>
  <si>
    <t>Transfer</t>
  </si>
  <si>
    <t>Accepted</t>
  </si>
  <si>
    <t>Blocked</t>
  </si>
  <si>
    <t>10–16</t>
  </si>
  <si>
    <t>Priority treatment</t>
  </si>
  <si>
    <t>Not Applicable</t>
  </si>
  <si>
    <t>Avoid</t>
  </si>
  <si>
    <t>Closed</t>
  </si>
  <si>
    <t>Completed</t>
  </si>
  <si>
    <t>17–25</t>
  </si>
  <si>
    <t>Urgent management attention</t>
  </si>
  <si>
    <t>Sheet</t>
  </si>
  <si>
    <t>Field</t>
  </si>
  <si>
    <t>Meaning</t>
  </si>
  <si>
    <t>Expected Values / Format</t>
  </si>
  <si>
    <t>Control_Master</t>
  </si>
  <si>
    <t>Unique identifier for selected Annex A control.</t>
  </si>
  <si>
    <t>A.x.x</t>
  </si>
  <si>
    <t>One of the four Annex A theme groups used in this project.</t>
  </si>
  <si>
    <t>Organizational / People / Physical / Technological</t>
  </si>
  <si>
    <t>Gap_Assessment</t>
  </si>
  <si>
    <t>Unique identifier for an assessment record.</t>
  </si>
  <si>
    <t>GA-###</t>
  </si>
  <si>
    <t>Current implementation status based on simulated evidence.</t>
  </si>
  <si>
    <t>Implemented / Partially Implemented / Not Implemented / Not Applicable</t>
  </si>
  <si>
    <t>Simple portfolio maturity label derived from status.</t>
  </si>
  <si>
    <t>Defined / Operating; Defined / Partially Operating; Not Established</t>
  </si>
  <si>
    <t>Whether evidence supporting the assessment was available.</t>
  </si>
  <si>
    <t>Yes / Partial / No</t>
  </si>
  <si>
    <t>Remediation priority assigned to the gap.</t>
  </si>
  <si>
    <t>Low / Medium / High / Critical</t>
  </si>
  <si>
    <t>Risk_Register</t>
  </si>
  <si>
    <t>Estimated probability rating for the risk.</t>
  </si>
  <si>
    <t>1–5</t>
  </si>
  <si>
    <t>Estimated business impact rating for the risk.</t>
  </si>
  <si>
    <t>Risk before additional treatment.</t>
  </si>
  <si>
    <t>Likelihood × Impact</t>
  </si>
  <si>
    <t>Estimated risk after planned/existing treatment.</t>
  </si>
  <si>
    <t>Residual Likelihood × Residual Impact</t>
  </si>
  <si>
    <t>Risk_Level</t>
  </si>
  <si>
    <t>Risk band derived from score.</t>
  </si>
  <si>
    <t>1–4 Low; 5–9 Medium; 10–16 High; 17–25 Critical</t>
  </si>
  <si>
    <t>Remediation_Tracker</t>
  </si>
  <si>
    <t>Progress against remediation action.</t>
  </si>
  <si>
    <t>0–100</t>
  </si>
  <si>
    <t>Assessment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</si>
</sst>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7365D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164" fontId="0" fillId="0" borderId="0" xfId="0" applyNumberFormat="1" applyAlignment="1">
      <alignment vertical="top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15" fontId="0" fillId="0" borderId="0" xfId="0" applyNumberFormat="1" applyAlignment="1">
      <alignment horizontal="left" vertical="top" wrapText="1"/>
    </xf>
    <xf numFmtId="14" fontId="0" fillId="0" borderId="0" xfId="0" applyNumberFormat="1" applyAlignment="1">
      <alignment horizontal="left" vertical="top" wrapText="1"/>
    </xf>
    <xf numFmtId="0" fontId="1" fillId="2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11">
    <dxf>
      <numFmt numFmtId="19" formatCode="dd/mm/yyyy"/>
      <alignment horizontal="left" vertical="top" textRotation="0" wrapText="1" indent="0" justifyLastLine="0" shrinkToFit="0" readingOrder="0"/>
    </dxf>
    <dxf>
      <fill>
        <patternFill patternType="solid">
          <fgColor rgb="FFE2F0D9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CE4D6"/>
        </patternFill>
      </fill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ontrolMaster" displayName="ControlMaster" ref="A1:G41">
  <autoFilter ref="A1:G41" xr:uid="{00000000-0009-0000-0100-000001000000}"/>
  <tableColumns count="7">
    <tableColumn id="1" xr3:uid="{00000000-0010-0000-0000-000001000000}" name="Control_ID"/>
    <tableColumn id="2" xr3:uid="{00000000-0010-0000-0000-000002000000}" name="Control_Category"/>
    <tableColumn id="3" xr3:uid="{00000000-0010-0000-0000-000003000000}" name="Control_Name"/>
    <tableColumn id="4" xr3:uid="{00000000-0010-0000-0000-000004000000}" name="Control_Objective"/>
    <tableColumn id="5" xr3:uid="{00000000-0010-0000-0000-000005000000}" name="Assessment_Criteria"/>
    <tableColumn id="6" xr3:uid="{00000000-0010-0000-0000-000006000000}" name="Evidence_Required"/>
    <tableColumn id="7" xr3:uid="{00000000-0010-0000-0000-000007000000}" name="Applicabl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GapAssessment" displayName="GapAssessment" ref="A1:M41">
  <autoFilter ref="A1:M41" xr:uid="{00000000-0009-0000-0100-000002000000}"/>
  <tableColumns count="13">
    <tableColumn id="1" xr3:uid="{00000000-0010-0000-0100-000001000000}" name="Assessment_ID"/>
    <tableColumn id="2" xr3:uid="{00000000-0010-0000-0100-000002000000}" name="Control_ID"/>
    <tableColumn id="3" xr3:uid="{00000000-0010-0000-0100-000003000000}" name="Control_Category"/>
    <tableColumn id="4" xr3:uid="{00000000-0010-0000-0100-000004000000}" name="Control_Name"/>
    <tableColumn id="5" xr3:uid="{00000000-0010-0000-0100-000005000000}" name="Assessment_Date"/>
    <tableColumn id="6" xr3:uid="{00000000-0010-0000-0100-000006000000}" name="Status"/>
    <tableColumn id="7" xr3:uid="{00000000-0010-0000-0100-000007000000}" name="Maturity"/>
    <tableColumn id="8" xr3:uid="{00000000-0010-0000-0100-000008000000}" name="Evidence_Available"/>
    <tableColumn id="9" xr3:uid="{00000000-0010-0000-0100-000009000000}" name="Evidence_Reference"/>
    <tableColumn id="10" xr3:uid="{00000000-0010-0000-0100-00000A000000}" name="Gap_Description"/>
    <tableColumn id="11" xr3:uid="{00000000-0010-0000-0100-00000B000000}" name="Assessor_Notes"/>
    <tableColumn id="12" xr3:uid="{00000000-0010-0000-0100-00000C000000}" name="Gap_Owner"/>
    <tableColumn id="13" xr3:uid="{00000000-0010-0000-0100-00000D000000}" name="Priority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RiskRegister" displayName="RiskRegister" ref="A1:T14">
  <autoFilter ref="A1:T14" xr:uid="{00000000-0009-0000-0100-000003000000}"/>
  <tableColumns count="20">
    <tableColumn id="1" xr3:uid="{00000000-0010-0000-0200-000001000000}" name="Risk_ID"/>
    <tableColumn id="2" xr3:uid="{00000000-0010-0000-0200-000002000000}" name="Assessment_ID"/>
    <tableColumn id="3" xr3:uid="{00000000-0010-0000-0200-000003000000}" name="Risk_Title"/>
    <tableColumn id="4" xr3:uid="{00000000-0010-0000-0200-000004000000}" name="Risk_Description"/>
    <tableColumn id="5" xr3:uid="{00000000-0010-0000-0200-000005000000}" name="Asset"/>
    <tableColumn id="6" xr3:uid="{00000000-0010-0000-0200-000006000000}" name="Threat"/>
    <tableColumn id="7" xr3:uid="{00000000-0010-0000-0200-000007000000}" name="Vulnerability"/>
    <tableColumn id="8" xr3:uid="{00000000-0010-0000-0200-000008000000}" name="Likelihood"/>
    <tableColumn id="9" xr3:uid="{00000000-0010-0000-0200-000009000000}" name="Impact"/>
    <tableColumn id="10" xr3:uid="{00000000-0010-0000-0200-00000A000000}" name="Inherent_Risk_Score"/>
    <tableColumn id="11" xr3:uid="{00000000-0010-0000-0200-00000B000000}" name="Inherent_Risk_Level" dataDxfId="10"/>
    <tableColumn id="12" xr3:uid="{00000000-0010-0000-0200-00000C000000}" name="Risk_Owner"/>
    <tableColumn id="13" xr3:uid="{00000000-0010-0000-0200-00000D000000}" name="Treatment"/>
    <tableColumn id="14" xr3:uid="{00000000-0010-0000-0200-00000E000000}" name="Mitigation_Action"/>
    <tableColumn id="15" xr3:uid="{00000000-0010-0000-0200-00000F000000}" name="Target_Date"/>
    <tableColumn id="16" xr3:uid="{00000000-0010-0000-0200-000010000000}" name="Status"/>
    <tableColumn id="17" xr3:uid="{00000000-0010-0000-0200-000011000000}" name="Residual_Likelihood"/>
    <tableColumn id="18" xr3:uid="{00000000-0010-0000-0200-000012000000}" name="Residual_Impact"/>
    <tableColumn id="19" xr3:uid="{00000000-0010-0000-0200-000013000000}" name="Residual_Risk_Score"/>
    <tableColumn id="20" xr3:uid="{00000000-0010-0000-0200-000014000000}" name="Residual_Risk_Level" dataDxfId="9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RemediationTracker" displayName="RemediationTracker" ref="A1:M14">
  <autoFilter ref="A1:M14" xr:uid="{00000000-0009-0000-0100-000004000000}"/>
  <tableColumns count="13">
    <tableColumn id="1" xr3:uid="{00000000-0010-0000-0300-000001000000}" name="Action_ID"/>
    <tableColumn id="2" xr3:uid="{00000000-0010-0000-0300-000002000000}" name="Risk_ID"/>
    <tableColumn id="3" xr3:uid="{00000000-0010-0000-0300-000003000000}" name="Assessment_ID"/>
    <tableColumn id="4" xr3:uid="{00000000-0010-0000-0300-000004000000}" name="Gap"/>
    <tableColumn id="5" xr3:uid="{00000000-0010-0000-0300-000005000000}" name="Remediation_Action"/>
    <tableColumn id="6" xr3:uid="{00000000-0010-0000-0300-000006000000}" name="Owner"/>
    <tableColumn id="7" xr3:uid="{00000000-0010-0000-0300-000007000000}" name="Priority"/>
    <tableColumn id="8" xr3:uid="{00000000-0010-0000-0300-000008000000}" name="Start_Date" dataDxfId="0"/>
    <tableColumn id="9" xr3:uid="{00000000-0010-0000-0300-000009000000}" name="Target_Date"/>
    <tableColumn id="10" xr3:uid="{00000000-0010-0000-0300-00000A000000}" name="Status"/>
    <tableColumn id="11" xr3:uid="{00000000-0010-0000-0300-00000B000000}" name="Completion_Percentage" dataDxfId="8"/>
    <tableColumn id="12" xr3:uid="{00000000-0010-0000-0300-00000C000000}" name="Evidence_Required"/>
    <tableColumn id="13" xr3:uid="{00000000-0010-0000-0300-00000D000000}" name="Closure_Not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EvidenceIndex" displayName="EvidenceIndex" ref="A1:H21">
  <autoFilter ref="A1:H21" xr:uid="{00000000-0009-0000-0100-000005000000}"/>
  <tableColumns count="8">
    <tableColumn id="1" xr3:uid="{00000000-0010-0000-0400-000001000000}" name="Evidence_ID"/>
    <tableColumn id="2" xr3:uid="{00000000-0010-0000-0400-000002000000}" name="Evidence_Type"/>
    <tableColumn id="3" xr3:uid="{00000000-0010-0000-0400-000003000000}" name="Related_Control"/>
    <tableColumn id="4" xr3:uid="{00000000-0010-0000-0400-000004000000}" name="Related_Assessment"/>
    <tableColumn id="5" xr3:uid="{00000000-0010-0000-0400-000005000000}" name="Description"/>
    <tableColumn id="6" xr3:uid="{00000000-0010-0000-0400-000006000000}" name="Owner"/>
    <tableColumn id="7" xr3:uid="{00000000-0010-0000-0400-000007000000}" name="Review_Status"/>
    <tableColumn id="8" xr3:uid="{00000000-0010-0000-0400-000008000000}" name="Not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DataDictionary" displayName="DataDictionary" ref="A1:D14">
  <autoFilter ref="A1:D14" xr:uid="{00000000-0009-0000-0100-000006000000}"/>
  <tableColumns count="4">
    <tableColumn id="1" xr3:uid="{00000000-0010-0000-0500-000001000000}" name="Sheet"/>
    <tableColumn id="2" xr3:uid="{00000000-0010-0000-0500-000002000000}" name="Field"/>
    <tableColumn id="3" xr3:uid="{00000000-0010-0000-0500-000003000000}" name="Meaning"/>
    <tableColumn id="4" xr3:uid="{00000000-0010-0000-0500-000004000000}" name="Expected Values / Forma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10"/>
  <sheetViews>
    <sheetView showGridLines="0" tabSelected="1" zoomScale="90" workbookViewId="0">
      <pane ySplit="1" topLeftCell="A2" activePane="bottomLeft" state="frozen"/>
      <selection pane="bottomLeft" activeCell="B19" sqref="B19"/>
    </sheetView>
  </sheetViews>
  <sheetFormatPr defaultRowHeight="14.5" x14ac:dyDescent="0.35"/>
  <cols>
    <col min="1" max="1" width="28" customWidth="1"/>
    <col min="2" max="2" width="115" customWidth="1"/>
  </cols>
  <sheetData>
    <row r="1" spans="1:2" x14ac:dyDescent="0.35">
      <c r="A1" s="1" t="s">
        <v>0</v>
      </c>
      <c r="B1" s="2" t="s">
        <v>1</v>
      </c>
    </row>
    <row r="2" spans="1:2" x14ac:dyDescent="0.35">
      <c r="A2" s="2" t="s">
        <v>2</v>
      </c>
      <c r="B2" s="2" t="s">
        <v>3</v>
      </c>
    </row>
    <row r="3" spans="1:2" x14ac:dyDescent="0.35">
      <c r="A3" s="2" t="s">
        <v>758</v>
      </c>
      <c r="B3" s="10">
        <v>46213</v>
      </c>
    </row>
    <row r="4" spans="1:2" ht="29" x14ac:dyDescent="0.35">
      <c r="A4" s="2" t="s">
        <v>4</v>
      </c>
      <c r="B4" s="2" t="s">
        <v>5</v>
      </c>
    </row>
    <row r="5" spans="1:2" x14ac:dyDescent="0.35">
      <c r="A5" s="2" t="s">
        <v>6</v>
      </c>
      <c r="B5" s="2" t="s">
        <v>7</v>
      </c>
    </row>
    <row r="6" spans="1:2" x14ac:dyDescent="0.35">
      <c r="A6" s="2" t="s">
        <v>8</v>
      </c>
      <c r="B6" s="2" t="s">
        <v>9</v>
      </c>
    </row>
    <row r="7" spans="1:2" x14ac:dyDescent="0.35">
      <c r="A7" s="2" t="s">
        <v>10</v>
      </c>
      <c r="B7" s="2" t="s">
        <v>11</v>
      </c>
    </row>
    <row r="8" spans="1:2" x14ac:dyDescent="0.35">
      <c r="A8" s="2" t="s">
        <v>12</v>
      </c>
      <c r="B8" s="2" t="s">
        <v>13</v>
      </c>
    </row>
    <row r="9" spans="1:2" x14ac:dyDescent="0.35">
      <c r="A9" s="2" t="s">
        <v>14</v>
      </c>
      <c r="B9" s="2" t="s">
        <v>15</v>
      </c>
    </row>
    <row r="10" spans="1:2" x14ac:dyDescent="0.35">
      <c r="A10" s="2" t="s">
        <v>16</v>
      </c>
      <c r="B10" s="2" t="s">
        <v>17</v>
      </c>
    </row>
  </sheetData>
  <pageMargins left="0.75" right="0.75" top="1" bottom="1" header="0.5" footer="0.5"/>
  <pageSetup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C14"/>
  <sheetViews>
    <sheetView showGridLines="0" zoomScale="7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2" customWidth="1"/>
    <col min="2" max="2" width="24" customWidth="1"/>
    <col min="3" max="3" width="85" style="8" customWidth="1"/>
  </cols>
  <sheetData>
    <row r="1" spans="1:3" ht="32" customHeight="1" x14ac:dyDescent="0.35">
      <c r="A1" s="3" t="s">
        <v>18</v>
      </c>
      <c r="B1" s="3" t="s">
        <v>19</v>
      </c>
      <c r="C1" s="3" t="s">
        <v>20</v>
      </c>
    </row>
    <row r="2" spans="1:3" x14ac:dyDescent="0.35">
      <c r="A2" s="2" t="s">
        <v>21</v>
      </c>
      <c r="B2" s="2">
        <v>40</v>
      </c>
      <c r="C2" s="7" t="s">
        <v>22</v>
      </c>
    </row>
    <row r="3" spans="1:3" x14ac:dyDescent="0.35">
      <c r="A3" s="2" t="s">
        <v>23</v>
      </c>
      <c r="B3" s="2">
        <f>COUNTIF(Gap_Assessment!F:F,"Implemented")</f>
        <v>18</v>
      </c>
      <c r="C3" s="7" t="s">
        <v>24</v>
      </c>
    </row>
    <row r="4" spans="1:3" x14ac:dyDescent="0.35">
      <c r="A4" s="2" t="s">
        <v>25</v>
      </c>
      <c r="B4" s="2">
        <f>COUNTIF(Gap_Assessment!F:F,"Partially Implemented")</f>
        <v>20</v>
      </c>
      <c r="C4" s="7" t="s">
        <v>26</v>
      </c>
    </row>
    <row r="5" spans="1:3" x14ac:dyDescent="0.35">
      <c r="A5" s="2" t="s">
        <v>27</v>
      </c>
      <c r="B5" s="2">
        <f>COUNTIF(Gap_Assessment!F:F,"Not Implemented")</f>
        <v>2</v>
      </c>
      <c r="C5" s="7" t="s">
        <v>28</v>
      </c>
    </row>
    <row r="6" spans="1:3" x14ac:dyDescent="0.35">
      <c r="A6" s="2" t="s">
        <v>29</v>
      </c>
      <c r="B6" s="2">
        <f>COUNTIF(Gap_Assessment!F:F,"Not Applicable")</f>
        <v>0</v>
      </c>
      <c r="C6" s="7" t="s">
        <v>30</v>
      </c>
    </row>
    <row r="7" spans="1:3" x14ac:dyDescent="0.35">
      <c r="A7" s="2" t="s">
        <v>31</v>
      </c>
      <c r="B7" s="4">
        <f>(B3*1+B4*0.5+B5*0)/B2</f>
        <v>0.7</v>
      </c>
      <c r="C7" s="7" t="s">
        <v>32</v>
      </c>
    </row>
    <row r="8" spans="1:3" x14ac:dyDescent="0.35">
      <c r="A8" s="2" t="s">
        <v>33</v>
      </c>
      <c r="B8" s="2">
        <v>13</v>
      </c>
      <c r="C8" s="7" t="s">
        <v>34</v>
      </c>
    </row>
    <row r="9" spans="1:3" x14ac:dyDescent="0.35">
      <c r="A9" s="2" t="s">
        <v>35</v>
      </c>
      <c r="B9" s="2">
        <f>COUNTIF(Risk_Register!K:K,"Critical")</f>
        <v>6</v>
      </c>
      <c r="C9" s="7" t="s">
        <v>36</v>
      </c>
    </row>
    <row r="10" spans="1:3" x14ac:dyDescent="0.35">
      <c r="A10" s="2" t="s">
        <v>37</v>
      </c>
      <c r="B10" s="2">
        <f>COUNTIF(Risk_Register!K:K,"High")</f>
        <v>7</v>
      </c>
      <c r="C10" s="7" t="s">
        <v>38</v>
      </c>
    </row>
    <row r="11" spans="1:3" x14ac:dyDescent="0.35">
      <c r="A11" s="2" t="s">
        <v>39</v>
      </c>
      <c r="B11" s="2">
        <f>COUNTIF(Risk_Register!K:K,"Medium")</f>
        <v>0</v>
      </c>
      <c r="C11" s="7" t="s">
        <v>40</v>
      </c>
    </row>
    <row r="12" spans="1:3" x14ac:dyDescent="0.35">
      <c r="A12" s="2" t="s">
        <v>41</v>
      </c>
      <c r="B12" s="2">
        <f>COUNTIF(Risk_Register!K:K,"Low")</f>
        <v>0</v>
      </c>
      <c r="C12" s="7" t="s">
        <v>42</v>
      </c>
    </row>
    <row r="13" spans="1:3" x14ac:dyDescent="0.35">
      <c r="A13" s="2" t="s">
        <v>43</v>
      </c>
      <c r="B13" s="2">
        <f>COUNTIF(Remediation_Tracker!J:J,"&lt;&gt;Completed")-1-COUNTIF(Remediation_Tracker!J:J,"Accepted")</f>
        <v>1048575</v>
      </c>
      <c r="C13" s="7" t="s">
        <v>44</v>
      </c>
    </row>
    <row r="14" spans="1:3" x14ac:dyDescent="0.35">
      <c r="A14" s="2" t="s">
        <v>45</v>
      </c>
      <c r="B14" s="4">
        <f>AVERAGE(Remediation_Tracker!K:K)/100</f>
        <v>0.15384615384615385</v>
      </c>
      <c r="C14" s="7" t="s">
        <v>46</v>
      </c>
    </row>
  </sheetData>
  <pageMargins left="0.75" right="0.75" top="1" bottom="1" header="0.5" footer="0.5"/>
  <pageSetup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G41"/>
  <sheetViews>
    <sheetView showGridLines="0" zoomScale="82" workbookViewId="0">
      <pane ySplit="1" topLeftCell="A29" activePane="bottomLeft" state="frozen"/>
      <selection pane="bottomLeft"/>
    </sheetView>
  </sheetViews>
  <sheetFormatPr defaultRowHeight="14.5" x14ac:dyDescent="0.35"/>
  <cols>
    <col min="1" max="1" width="16.08984375" customWidth="1"/>
    <col min="2" max="2" width="21.7265625" customWidth="1"/>
    <col min="3" max="3" width="48" customWidth="1"/>
    <col min="4" max="4" width="67" customWidth="1"/>
    <col min="5" max="5" width="73.08984375" customWidth="1"/>
    <col min="6" max="6" width="57.7265625" customWidth="1"/>
    <col min="7" max="7" width="16.90625" customWidth="1"/>
  </cols>
  <sheetData>
    <row r="1" spans="1:7" ht="32" customHeight="1" x14ac:dyDescent="0.35">
      <c r="A1" s="9" t="s">
        <v>47</v>
      </c>
      <c r="B1" s="3" t="s">
        <v>48</v>
      </c>
      <c r="C1" s="9" t="s">
        <v>49</v>
      </c>
      <c r="D1" s="3" t="s">
        <v>50</v>
      </c>
      <c r="E1" s="3" t="s">
        <v>51</v>
      </c>
      <c r="F1" s="3" t="s">
        <v>52</v>
      </c>
      <c r="G1" s="3" t="s">
        <v>53</v>
      </c>
    </row>
    <row r="2" spans="1:7" ht="29" x14ac:dyDescent="0.35">
      <c r="A2" s="2" t="s">
        <v>54</v>
      </c>
      <c r="B2" s="2" t="s">
        <v>55</v>
      </c>
      <c r="C2" s="2" t="s">
        <v>56</v>
      </c>
      <c r="D2" s="2" t="s">
        <v>57</v>
      </c>
      <c r="E2" s="2" t="s">
        <v>58</v>
      </c>
      <c r="F2" s="2" t="s">
        <v>59</v>
      </c>
      <c r="G2" s="2" t="s">
        <v>60</v>
      </c>
    </row>
    <row r="3" spans="1:7" x14ac:dyDescent="0.35">
      <c r="A3" s="2" t="s">
        <v>61</v>
      </c>
      <c r="B3" s="2" t="s">
        <v>55</v>
      </c>
      <c r="C3" s="2" t="s">
        <v>62</v>
      </c>
      <c r="D3" s="2" t="s">
        <v>63</v>
      </c>
      <c r="E3" s="2" t="s">
        <v>64</v>
      </c>
      <c r="F3" s="2" t="s">
        <v>65</v>
      </c>
      <c r="G3" s="2" t="s">
        <v>60</v>
      </c>
    </row>
    <row r="4" spans="1:7" ht="29" x14ac:dyDescent="0.35">
      <c r="A4" s="2" t="s">
        <v>66</v>
      </c>
      <c r="B4" s="2" t="s">
        <v>55</v>
      </c>
      <c r="C4" s="2" t="s">
        <v>67</v>
      </c>
      <c r="D4" s="2" t="s">
        <v>68</v>
      </c>
      <c r="E4" s="2" t="s">
        <v>69</v>
      </c>
      <c r="F4" s="2" t="s">
        <v>70</v>
      </c>
      <c r="G4" s="2" t="s">
        <v>60</v>
      </c>
    </row>
    <row r="5" spans="1:7" ht="29" x14ac:dyDescent="0.35">
      <c r="A5" s="2" t="s">
        <v>71</v>
      </c>
      <c r="B5" s="2" t="s">
        <v>55</v>
      </c>
      <c r="C5" s="2" t="s">
        <v>72</v>
      </c>
      <c r="D5" s="2" t="s">
        <v>73</v>
      </c>
      <c r="E5" s="2" t="s">
        <v>74</v>
      </c>
      <c r="F5" s="2" t="s">
        <v>75</v>
      </c>
      <c r="G5" s="2" t="s">
        <v>60</v>
      </c>
    </row>
    <row r="6" spans="1:7" ht="29" x14ac:dyDescent="0.35">
      <c r="A6" s="2" t="s">
        <v>76</v>
      </c>
      <c r="B6" s="2" t="s">
        <v>55</v>
      </c>
      <c r="C6" s="2" t="s">
        <v>77</v>
      </c>
      <c r="D6" s="2" t="s">
        <v>78</v>
      </c>
      <c r="E6" s="2" t="s">
        <v>79</v>
      </c>
      <c r="F6" s="2" t="s">
        <v>80</v>
      </c>
      <c r="G6" s="2" t="s">
        <v>60</v>
      </c>
    </row>
    <row r="7" spans="1:7" ht="29" x14ac:dyDescent="0.35">
      <c r="A7" s="2" t="s">
        <v>81</v>
      </c>
      <c r="B7" s="2" t="s">
        <v>55</v>
      </c>
      <c r="C7" s="2" t="s">
        <v>82</v>
      </c>
      <c r="D7" s="2" t="s">
        <v>83</v>
      </c>
      <c r="E7" s="2" t="s">
        <v>84</v>
      </c>
      <c r="F7" s="2" t="s">
        <v>85</v>
      </c>
      <c r="G7" s="2" t="s">
        <v>60</v>
      </c>
    </row>
    <row r="8" spans="1:7" x14ac:dyDescent="0.35">
      <c r="A8" s="2" t="s">
        <v>86</v>
      </c>
      <c r="B8" s="2" t="s">
        <v>55</v>
      </c>
      <c r="C8" s="2" t="s">
        <v>87</v>
      </c>
      <c r="D8" s="2" t="s">
        <v>88</v>
      </c>
      <c r="E8" s="2" t="s">
        <v>89</v>
      </c>
      <c r="F8" s="2" t="s">
        <v>90</v>
      </c>
      <c r="G8" s="2" t="s">
        <v>60</v>
      </c>
    </row>
    <row r="9" spans="1:7" ht="29" x14ac:dyDescent="0.35">
      <c r="A9" s="2" t="s">
        <v>91</v>
      </c>
      <c r="B9" s="2" t="s">
        <v>55</v>
      </c>
      <c r="C9" s="2" t="s">
        <v>92</v>
      </c>
      <c r="D9" s="2" t="s">
        <v>93</v>
      </c>
      <c r="E9" s="2" t="s">
        <v>94</v>
      </c>
      <c r="F9" s="2" t="s">
        <v>95</v>
      </c>
      <c r="G9" s="2" t="s">
        <v>60</v>
      </c>
    </row>
    <row r="10" spans="1:7" ht="29" x14ac:dyDescent="0.35">
      <c r="A10" s="2" t="s">
        <v>96</v>
      </c>
      <c r="B10" s="2" t="s">
        <v>55</v>
      </c>
      <c r="C10" s="2" t="s">
        <v>97</v>
      </c>
      <c r="D10" s="2" t="s">
        <v>98</v>
      </c>
      <c r="E10" s="2" t="s">
        <v>99</v>
      </c>
      <c r="F10" s="2" t="s">
        <v>100</v>
      </c>
      <c r="G10" s="2" t="s">
        <v>60</v>
      </c>
    </row>
    <row r="11" spans="1:7" x14ac:dyDescent="0.35">
      <c r="A11" s="2" t="s">
        <v>101</v>
      </c>
      <c r="B11" s="2" t="s">
        <v>55</v>
      </c>
      <c r="C11" s="2" t="s">
        <v>102</v>
      </c>
      <c r="D11" s="2" t="s">
        <v>103</v>
      </c>
      <c r="E11" s="2" t="s">
        <v>104</v>
      </c>
      <c r="F11" s="2" t="s">
        <v>105</v>
      </c>
      <c r="G11" s="2" t="s">
        <v>60</v>
      </c>
    </row>
    <row r="12" spans="1:7" ht="29" x14ac:dyDescent="0.35">
      <c r="A12" s="2" t="s">
        <v>106</v>
      </c>
      <c r="B12" s="2" t="s">
        <v>55</v>
      </c>
      <c r="C12" s="2" t="s">
        <v>107</v>
      </c>
      <c r="D12" s="2" t="s">
        <v>108</v>
      </c>
      <c r="E12" s="2" t="s">
        <v>109</v>
      </c>
      <c r="F12" s="2" t="s">
        <v>110</v>
      </c>
      <c r="G12" s="2" t="s">
        <v>60</v>
      </c>
    </row>
    <row r="13" spans="1:7" ht="29" x14ac:dyDescent="0.35">
      <c r="A13" s="2" t="s">
        <v>111</v>
      </c>
      <c r="B13" s="2" t="s">
        <v>55</v>
      </c>
      <c r="C13" s="2" t="s">
        <v>112</v>
      </c>
      <c r="D13" s="2" t="s">
        <v>113</v>
      </c>
      <c r="E13" s="2" t="s">
        <v>114</v>
      </c>
      <c r="F13" s="2" t="s">
        <v>115</v>
      </c>
      <c r="G13" s="2" t="s">
        <v>60</v>
      </c>
    </row>
    <row r="14" spans="1:7" x14ac:dyDescent="0.35">
      <c r="A14" s="2" t="s">
        <v>116</v>
      </c>
      <c r="B14" s="2" t="s">
        <v>55</v>
      </c>
      <c r="C14" s="2" t="s">
        <v>117</v>
      </c>
      <c r="D14" s="2" t="s">
        <v>118</v>
      </c>
      <c r="E14" s="2" t="s">
        <v>119</v>
      </c>
      <c r="F14" s="2" t="s">
        <v>120</v>
      </c>
      <c r="G14" s="2" t="s">
        <v>60</v>
      </c>
    </row>
    <row r="15" spans="1:7" ht="29" x14ac:dyDescent="0.35">
      <c r="A15" s="2" t="s">
        <v>121</v>
      </c>
      <c r="B15" s="2" t="s">
        <v>55</v>
      </c>
      <c r="C15" s="2" t="s">
        <v>122</v>
      </c>
      <c r="D15" s="2" t="s">
        <v>123</v>
      </c>
      <c r="E15" s="2" t="s">
        <v>124</v>
      </c>
      <c r="F15" s="2" t="s">
        <v>125</v>
      </c>
      <c r="G15" s="2" t="s">
        <v>60</v>
      </c>
    </row>
    <row r="16" spans="1:7" ht="29" x14ac:dyDescent="0.35">
      <c r="A16" s="2" t="s">
        <v>126</v>
      </c>
      <c r="B16" s="2" t="s">
        <v>55</v>
      </c>
      <c r="C16" s="2" t="s">
        <v>127</v>
      </c>
      <c r="D16" s="2" t="s">
        <v>128</v>
      </c>
      <c r="E16" s="2" t="s">
        <v>129</v>
      </c>
      <c r="F16" s="2" t="s">
        <v>130</v>
      </c>
      <c r="G16" s="2" t="s">
        <v>60</v>
      </c>
    </row>
    <row r="17" spans="1:7" ht="29" x14ac:dyDescent="0.35">
      <c r="A17" s="2" t="s">
        <v>131</v>
      </c>
      <c r="B17" s="2" t="s">
        <v>55</v>
      </c>
      <c r="C17" s="2" t="s">
        <v>132</v>
      </c>
      <c r="D17" s="2" t="s">
        <v>133</v>
      </c>
      <c r="E17" s="2" t="s">
        <v>134</v>
      </c>
      <c r="F17" s="2" t="s">
        <v>135</v>
      </c>
      <c r="G17" s="2" t="s">
        <v>60</v>
      </c>
    </row>
    <row r="18" spans="1:7" ht="29" x14ac:dyDescent="0.35">
      <c r="A18" s="2" t="s">
        <v>136</v>
      </c>
      <c r="B18" s="2" t="s">
        <v>55</v>
      </c>
      <c r="C18" s="2" t="s">
        <v>137</v>
      </c>
      <c r="D18" s="2" t="s">
        <v>138</v>
      </c>
      <c r="E18" s="2" t="s">
        <v>139</v>
      </c>
      <c r="F18" s="2" t="s">
        <v>140</v>
      </c>
      <c r="G18" s="2" t="s">
        <v>60</v>
      </c>
    </row>
    <row r="19" spans="1:7" ht="29" x14ac:dyDescent="0.35">
      <c r="A19" s="2" t="s">
        <v>141</v>
      </c>
      <c r="B19" s="2" t="s">
        <v>55</v>
      </c>
      <c r="C19" s="2" t="s">
        <v>142</v>
      </c>
      <c r="D19" s="2" t="s">
        <v>143</v>
      </c>
      <c r="E19" s="2" t="s">
        <v>144</v>
      </c>
      <c r="F19" s="2" t="s">
        <v>145</v>
      </c>
      <c r="G19" s="2" t="s">
        <v>60</v>
      </c>
    </row>
    <row r="20" spans="1:7" x14ac:dyDescent="0.35">
      <c r="A20" s="2" t="s">
        <v>146</v>
      </c>
      <c r="B20" s="2" t="s">
        <v>55</v>
      </c>
      <c r="C20" s="2" t="s">
        <v>147</v>
      </c>
      <c r="D20" s="2" t="s">
        <v>148</v>
      </c>
      <c r="E20" s="2" t="s">
        <v>149</v>
      </c>
      <c r="F20" s="2" t="s">
        <v>150</v>
      </c>
      <c r="G20" s="2" t="s">
        <v>60</v>
      </c>
    </row>
    <row r="21" spans="1:7" ht="29" x14ac:dyDescent="0.35">
      <c r="A21" s="2" t="s">
        <v>151</v>
      </c>
      <c r="B21" s="2" t="s">
        <v>55</v>
      </c>
      <c r="C21" s="2" t="s">
        <v>152</v>
      </c>
      <c r="D21" s="2" t="s">
        <v>153</v>
      </c>
      <c r="E21" s="2" t="s">
        <v>154</v>
      </c>
      <c r="F21" s="2" t="s">
        <v>155</v>
      </c>
      <c r="G21" s="2" t="s">
        <v>60</v>
      </c>
    </row>
    <row r="22" spans="1:7" ht="29" x14ac:dyDescent="0.35">
      <c r="A22" s="2" t="s">
        <v>156</v>
      </c>
      <c r="B22" s="2" t="s">
        <v>55</v>
      </c>
      <c r="C22" s="2" t="s">
        <v>157</v>
      </c>
      <c r="D22" s="2" t="s">
        <v>158</v>
      </c>
      <c r="E22" s="2" t="s">
        <v>159</v>
      </c>
      <c r="F22" s="2" t="s">
        <v>160</v>
      </c>
      <c r="G22" s="2" t="s">
        <v>60</v>
      </c>
    </row>
    <row r="23" spans="1:7" ht="29" x14ac:dyDescent="0.35">
      <c r="A23" s="2" t="s">
        <v>161</v>
      </c>
      <c r="B23" s="2" t="s">
        <v>55</v>
      </c>
      <c r="C23" s="2" t="s">
        <v>162</v>
      </c>
      <c r="D23" s="2" t="s">
        <v>163</v>
      </c>
      <c r="E23" s="2" t="s">
        <v>164</v>
      </c>
      <c r="F23" s="2" t="s">
        <v>165</v>
      </c>
      <c r="G23" s="2" t="s">
        <v>60</v>
      </c>
    </row>
    <row r="24" spans="1:7" ht="29" x14ac:dyDescent="0.35">
      <c r="A24" s="2" t="s">
        <v>166</v>
      </c>
      <c r="B24" s="2" t="s">
        <v>55</v>
      </c>
      <c r="C24" s="2" t="s">
        <v>167</v>
      </c>
      <c r="D24" s="2" t="s">
        <v>168</v>
      </c>
      <c r="E24" s="2" t="s">
        <v>169</v>
      </c>
      <c r="F24" s="2" t="s">
        <v>170</v>
      </c>
      <c r="G24" s="2" t="s">
        <v>60</v>
      </c>
    </row>
    <row r="25" spans="1:7" ht="29" x14ac:dyDescent="0.35">
      <c r="A25" s="2" t="s">
        <v>171</v>
      </c>
      <c r="B25" s="2" t="s">
        <v>55</v>
      </c>
      <c r="C25" s="2" t="s">
        <v>172</v>
      </c>
      <c r="D25" s="2" t="s">
        <v>173</v>
      </c>
      <c r="E25" s="2" t="s">
        <v>174</v>
      </c>
      <c r="F25" s="2" t="s">
        <v>175</v>
      </c>
      <c r="G25" s="2" t="s">
        <v>60</v>
      </c>
    </row>
    <row r="26" spans="1:7" ht="29" x14ac:dyDescent="0.35">
      <c r="A26" s="2" t="s">
        <v>176</v>
      </c>
      <c r="B26" s="2" t="s">
        <v>177</v>
      </c>
      <c r="C26" s="2" t="s">
        <v>178</v>
      </c>
      <c r="D26" s="2" t="s">
        <v>179</v>
      </c>
      <c r="E26" s="2" t="s">
        <v>180</v>
      </c>
      <c r="F26" s="2" t="s">
        <v>181</v>
      </c>
      <c r="G26" s="2" t="s">
        <v>60</v>
      </c>
    </row>
    <row r="27" spans="1:7" x14ac:dyDescent="0.35">
      <c r="A27" s="2" t="s">
        <v>182</v>
      </c>
      <c r="B27" s="2" t="s">
        <v>177</v>
      </c>
      <c r="C27" s="2" t="s">
        <v>183</v>
      </c>
      <c r="D27" s="2" t="s">
        <v>184</v>
      </c>
      <c r="E27" s="2" t="s">
        <v>185</v>
      </c>
      <c r="F27" s="2" t="s">
        <v>186</v>
      </c>
      <c r="G27" s="2" t="s">
        <v>60</v>
      </c>
    </row>
    <row r="28" spans="1:7" ht="29" x14ac:dyDescent="0.35">
      <c r="A28" s="2" t="s">
        <v>187</v>
      </c>
      <c r="B28" s="2" t="s">
        <v>177</v>
      </c>
      <c r="C28" s="2" t="s">
        <v>188</v>
      </c>
      <c r="D28" s="2" t="s">
        <v>189</v>
      </c>
      <c r="E28" s="2" t="s">
        <v>190</v>
      </c>
      <c r="F28" s="2" t="s">
        <v>191</v>
      </c>
      <c r="G28" s="2" t="s">
        <v>60</v>
      </c>
    </row>
    <row r="29" spans="1:7" ht="29" x14ac:dyDescent="0.35">
      <c r="A29" s="2" t="s">
        <v>192</v>
      </c>
      <c r="B29" s="2" t="s">
        <v>177</v>
      </c>
      <c r="C29" s="2" t="s">
        <v>193</v>
      </c>
      <c r="D29" s="2" t="s">
        <v>194</v>
      </c>
      <c r="E29" s="2" t="s">
        <v>195</v>
      </c>
      <c r="F29" s="2" t="s">
        <v>196</v>
      </c>
      <c r="G29" s="2" t="s">
        <v>60</v>
      </c>
    </row>
    <row r="30" spans="1:7" ht="29" x14ac:dyDescent="0.35">
      <c r="A30" s="2" t="s">
        <v>197</v>
      </c>
      <c r="B30" s="2" t="s">
        <v>198</v>
      </c>
      <c r="C30" s="2" t="s">
        <v>199</v>
      </c>
      <c r="D30" s="2" t="s">
        <v>200</v>
      </c>
      <c r="E30" s="2" t="s">
        <v>201</v>
      </c>
      <c r="F30" s="2" t="s">
        <v>202</v>
      </c>
      <c r="G30" s="2" t="s">
        <v>60</v>
      </c>
    </row>
    <row r="31" spans="1:7" x14ac:dyDescent="0.35">
      <c r="A31" s="2" t="s">
        <v>203</v>
      </c>
      <c r="B31" s="2" t="s">
        <v>198</v>
      </c>
      <c r="C31" s="2" t="s">
        <v>204</v>
      </c>
      <c r="D31" s="2" t="s">
        <v>205</v>
      </c>
      <c r="E31" s="2" t="s">
        <v>206</v>
      </c>
      <c r="F31" s="2" t="s">
        <v>207</v>
      </c>
      <c r="G31" s="2" t="s">
        <v>60</v>
      </c>
    </row>
    <row r="32" spans="1:7" x14ac:dyDescent="0.35">
      <c r="A32" s="2" t="s">
        <v>208</v>
      </c>
      <c r="B32" s="2" t="s">
        <v>198</v>
      </c>
      <c r="C32" s="2" t="s">
        <v>209</v>
      </c>
      <c r="D32" s="2" t="s">
        <v>210</v>
      </c>
      <c r="E32" s="2" t="s">
        <v>211</v>
      </c>
      <c r="F32" s="2" t="s">
        <v>212</v>
      </c>
      <c r="G32" s="2" t="s">
        <v>60</v>
      </c>
    </row>
    <row r="33" spans="1:7" ht="29" x14ac:dyDescent="0.35">
      <c r="A33" s="2" t="s">
        <v>213</v>
      </c>
      <c r="B33" s="2" t="s">
        <v>198</v>
      </c>
      <c r="C33" s="2" t="s">
        <v>214</v>
      </c>
      <c r="D33" s="2" t="s">
        <v>215</v>
      </c>
      <c r="E33" s="2" t="s">
        <v>216</v>
      </c>
      <c r="F33" s="2" t="s">
        <v>217</v>
      </c>
      <c r="G33" s="2" t="s">
        <v>60</v>
      </c>
    </row>
    <row r="34" spans="1:7" x14ac:dyDescent="0.35">
      <c r="A34" s="2" t="s">
        <v>218</v>
      </c>
      <c r="B34" s="2" t="s">
        <v>198</v>
      </c>
      <c r="C34" s="2" t="s">
        <v>219</v>
      </c>
      <c r="D34" s="2" t="s">
        <v>220</v>
      </c>
      <c r="E34" s="2" t="s">
        <v>221</v>
      </c>
      <c r="F34" s="2" t="s">
        <v>222</v>
      </c>
      <c r="G34" s="2" t="s">
        <v>60</v>
      </c>
    </row>
    <row r="35" spans="1:7" x14ac:dyDescent="0.35">
      <c r="A35" s="2" t="s">
        <v>223</v>
      </c>
      <c r="B35" s="2" t="s">
        <v>224</v>
      </c>
      <c r="C35" s="2" t="s">
        <v>225</v>
      </c>
      <c r="D35" s="2" t="s">
        <v>226</v>
      </c>
      <c r="E35" s="2" t="s">
        <v>227</v>
      </c>
      <c r="F35" s="2" t="s">
        <v>228</v>
      </c>
      <c r="G35" s="2" t="s">
        <v>60</v>
      </c>
    </row>
    <row r="36" spans="1:7" x14ac:dyDescent="0.35">
      <c r="A36" s="2" t="s">
        <v>229</v>
      </c>
      <c r="B36" s="2" t="s">
        <v>224</v>
      </c>
      <c r="C36" s="2" t="s">
        <v>230</v>
      </c>
      <c r="D36" s="2" t="s">
        <v>231</v>
      </c>
      <c r="E36" s="2" t="s">
        <v>232</v>
      </c>
      <c r="F36" s="2" t="s">
        <v>233</v>
      </c>
      <c r="G36" s="2" t="s">
        <v>60</v>
      </c>
    </row>
    <row r="37" spans="1:7" x14ac:dyDescent="0.35">
      <c r="A37" s="2" t="s">
        <v>234</v>
      </c>
      <c r="B37" s="2" t="s">
        <v>224</v>
      </c>
      <c r="C37" s="2" t="s">
        <v>235</v>
      </c>
      <c r="D37" s="2" t="s">
        <v>236</v>
      </c>
      <c r="E37" s="2" t="s">
        <v>237</v>
      </c>
      <c r="F37" s="2" t="s">
        <v>238</v>
      </c>
      <c r="G37" s="2" t="s">
        <v>60</v>
      </c>
    </row>
    <row r="38" spans="1:7" x14ac:dyDescent="0.35">
      <c r="A38" s="2" t="s">
        <v>239</v>
      </c>
      <c r="B38" s="2" t="s">
        <v>224</v>
      </c>
      <c r="C38" s="2" t="s">
        <v>240</v>
      </c>
      <c r="D38" s="2" t="s">
        <v>241</v>
      </c>
      <c r="E38" s="2" t="s">
        <v>242</v>
      </c>
      <c r="F38" s="2" t="s">
        <v>243</v>
      </c>
      <c r="G38" s="2" t="s">
        <v>60</v>
      </c>
    </row>
    <row r="39" spans="1:7" ht="29" x14ac:dyDescent="0.35">
      <c r="A39" s="2" t="s">
        <v>244</v>
      </c>
      <c r="B39" s="2" t="s">
        <v>224</v>
      </c>
      <c r="C39" s="2" t="s">
        <v>245</v>
      </c>
      <c r="D39" s="2" t="s">
        <v>246</v>
      </c>
      <c r="E39" s="2" t="s">
        <v>247</v>
      </c>
      <c r="F39" s="2" t="s">
        <v>248</v>
      </c>
      <c r="G39" s="2" t="s">
        <v>60</v>
      </c>
    </row>
    <row r="40" spans="1:7" x14ac:dyDescent="0.35">
      <c r="A40" s="2" t="s">
        <v>249</v>
      </c>
      <c r="B40" s="2" t="s">
        <v>224</v>
      </c>
      <c r="C40" s="2" t="s">
        <v>250</v>
      </c>
      <c r="D40" s="2" t="s">
        <v>251</v>
      </c>
      <c r="E40" s="2" t="s">
        <v>252</v>
      </c>
      <c r="F40" s="2" t="s">
        <v>253</v>
      </c>
      <c r="G40" s="2" t="s">
        <v>60</v>
      </c>
    </row>
    <row r="41" spans="1:7" x14ac:dyDescent="0.35">
      <c r="A41" s="2" t="s">
        <v>254</v>
      </c>
      <c r="B41" s="2" t="s">
        <v>224</v>
      </c>
      <c r="C41" s="2" t="s">
        <v>255</v>
      </c>
      <c r="D41" s="2" t="s">
        <v>256</v>
      </c>
      <c r="E41" s="2" t="s">
        <v>257</v>
      </c>
      <c r="F41" s="2" t="s">
        <v>258</v>
      </c>
      <c r="G41" s="2" t="s">
        <v>60</v>
      </c>
    </row>
  </sheetData>
  <dataValidations count="1">
    <dataValidation type="list" sqref="G2:G41" xr:uid="{00000000-0002-0000-0200-000000000000}">
      <formula1>"Yes,No"</formula1>
    </dataValidation>
  </dataValidations>
  <pageMargins left="0.75" right="0.75" top="1" bottom="1" header="0.5" footer="0.5"/>
  <pageSetup fitToHeight="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M41"/>
  <sheetViews>
    <sheetView showGridLines="0" zoomScale="58" zoomScaleNormal="58" workbookViewId="0">
      <pane ySplit="1" topLeftCell="A18" activePane="bottomLeft" state="frozen"/>
      <selection pane="bottomLeft" activeCell="E43" sqref="E43"/>
    </sheetView>
  </sheetViews>
  <sheetFormatPr defaultRowHeight="14.5" x14ac:dyDescent="0.35"/>
  <cols>
    <col min="1" max="1" width="20.90625" customWidth="1"/>
    <col min="2" max="2" width="16.81640625" customWidth="1"/>
    <col min="3" max="3" width="21.54296875" customWidth="1"/>
    <col min="4" max="4" width="48" customWidth="1"/>
    <col min="5" max="5" width="18.81640625" customWidth="1"/>
    <col min="6" max="6" width="23.6328125" customWidth="1"/>
    <col min="7" max="7" width="28" customWidth="1"/>
    <col min="8" max="8" width="23.26953125" customWidth="1"/>
    <col min="9" max="9" width="28.453125" customWidth="1"/>
    <col min="10" max="10" width="65" customWidth="1"/>
    <col min="11" max="11" width="69.7265625" customWidth="1"/>
    <col min="12" max="12" width="30.7265625" customWidth="1"/>
    <col min="13" max="13" width="16.7265625" customWidth="1"/>
  </cols>
  <sheetData>
    <row r="1" spans="1:13" ht="32" customHeight="1" x14ac:dyDescent="0.35">
      <c r="A1" s="3" t="s">
        <v>259</v>
      </c>
      <c r="B1" s="3" t="s">
        <v>47</v>
      </c>
      <c r="C1" s="3" t="s">
        <v>48</v>
      </c>
      <c r="D1" s="3" t="s">
        <v>49</v>
      </c>
      <c r="E1" s="3" t="s">
        <v>260</v>
      </c>
      <c r="F1" s="3" t="s">
        <v>261</v>
      </c>
      <c r="G1" s="3" t="s">
        <v>262</v>
      </c>
      <c r="H1" s="3" t="s">
        <v>263</v>
      </c>
      <c r="I1" s="3" t="s">
        <v>264</v>
      </c>
      <c r="J1" s="3" t="s">
        <v>265</v>
      </c>
      <c r="K1" s="3" t="s">
        <v>266</v>
      </c>
      <c r="L1" s="3" t="s">
        <v>267</v>
      </c>
      <c r="M1" s="3" t="s">
        <v>268</v>
      </c>
    </row>
    <row r="2" spans="1:13" x14ac:dyDescent="0.35">
      <c r="A2" s="2" t="s">
        <v>269</v>
      </c>
      <c r="B2" s="2" t="s">
        <v>54</v>
      </c>
      <c r="C2" s="2" t="s">
        <v>55</v>
      </c>
      <c r="D2" s="2" t="s">
        <v>56</v>
      </c>
      <c r="E2" s="11">
        <v>46213</v>
      </c>
      <c r="F2" s="2" t="s">
        <v>270</v>
      </c>
      <c r="G2" s="2" t="s">
        <v>271</v>
      </c>
      <c r="H2" s="2" t="s">
        <v>60</v>
      </c>
      <c r="I2" s="2" t="s">
        <v>272</v>
      </c>
      <c r="J2" s="2"/>
      <c r="K2" s="2" t="s">
        <v>273</v>
      </c>
      <c r="L2" s="2" t="s">
        <v>274</v>
      </c>
      <c r="M2" s="2" t="s">
        <v>275</v>
      </c>
    </row>
    <row r="3" spans="1:13" x14ac:dyDescent="0.35">
      <c r="A3" s="2" t="s">
        <v>276</v>
      </c>
      <c r="B3" s="2" t="s">
        <v>61</v>
      </c>
      <c r="C3" s="2" t="s">
        <v>55</v>
      </c>
      <c r="D3" s="2" t="s">
        <v>62</v>
      </c>
      <c r="E3" s="11">
        <v>46213</v>
      </c>
      <c r="F3" s="2" t="s">
        <v>270</v>
      </c>
      <c r="G3" s="2" t="s">
        <v>271</v>
      </c>
      <c r="H3" s="2" t="s">
        <v>60</v>
      </c>
      <c r="I3" s="2" t="s">
        <v>277</v>
      </c>
      <c r="J3" s="2"/>
      <c r="K3" s="2" t="s">
        <v>278</v>
      </c>
      <c r="L3" s="2" t="s">
        <v>274</v>
      </c>
      <c r="M3" s="2" t="s">
        <v>275</v>
      </c>
    </row>
    <row r="4" spans="1:13" ht="29" x14ac:dyDescent="0.35">
      <c r="A4" s="2" t="s">
        <v>279</v>
      </c>
      <c r="B4" s="2" t="s">
        <v>66</v>
      </c>
      <c r="C4" s="2" t="s">
        <v>55</v>
      </c>
      <c r="D4" s="2" t="s">
        <v>67</v>
      </c>
      <c r="E4" s="11">
        <v>46213</v>
      </c>
      <c r="F4" s="2" t="s">
        <v>270</v>
      </c>
      <c r="G4" s="2" t="s">
        <v>271</v>
      </c>
      <c r="H4" s="2" t="s">
        <v>60</v>
      </c>
      <c r="I4" s="2" t="s">
        <v>280</v>
      </c>
      <c r="J4" s="2"/>
      <c r="K4" s="2" t="s">
        <v>281</v>
      </c>
      <c r="L4" s="2" t="s">
        <v>274</v>
      </c>
      <c r="M4" s="2" t="s">
        <v>275</v>
      </c>
    </row>
    <row r="5" spans="1:13" ht="29" x14ac:dyDescent="0.35">
      <c r="A5" s="2" t="s">
        <v>282</v>
      </c>
      <c r="B5" s="2" t="s">
        <v>71</v>
      </c>
      <c r="C5" s="2" t="s">
        <v>55</v>
      </c>
      <c r="D5" s="2" t="s">
        <v>72</v>
      </c>
      <c r="E5" s="11">
        <v>46213</v>
      </c>
      <c r="F5" s="2" t="s">
        <v>283</v>
      </c>
      <c r="G5" s="2" t="s">
        <v>284</v>
      </c>
      <c r="H5" s="2" t="s">
        <v>285</v>
      </c>
      <c r="I5" s="2" t="s">
        <v>286</v>
      </c>
      <c r="J5" s="2" t="s">
        <v>287</v>
      </c>
      <c r="K5" s="2" t="s">
        <v>288</v>
      </c>
      <c r="L5" s="2" t="s">
        <v>274</v>
      </c>
      <c r="M5" s="2" t="s">
        <v>289</v>
      </c>
    </row>
    <row r="6" spans="1:13" ht="29" x14ac:dyDescent="0.35">
      <c r="A6" s="2" t="s">
        <v>290</v>
      </c>
      <c r="B6" s="2" t="s">
        <v>76</v>
      </c>
      <c r="C6" s="2" t="s">
        <v>55</v>
      </c>
      <c r="D6" s="2" t="s">
        <v>77</v>
      </c>
      <c r="E6" s="11">
        <v>46213</v>
      </c>
      <c r="F6" s="2" t="s">
        <v>283</v>
      </c>
      <c r="G6" s="2" t="s">
        <v>284</v>
      </c>
      <c r="H6" s="2" t="s">
        <v>285</v>
      </c>
      <c r="I6" s="2" t="s">
        <v>291</v>
      </c>
      <c r="J6" s="2" t="s">
        <v>292</v>
      </c>
      <c r="K6" s="2" t="s">
        <v>293</v>
      </c>
      <c r="L6" s="2" t="s">
        <v>274</v>
      </c>
      <c r="M6" s="2" t="s">
        <v>289</v>
      </c>
    </row>
    <row r="7" spans="1:13" ht="29" x14ac:dyDescent="0.35">
      <c r="A7" s="2" t="s">
        <v>294</v>
      </c>
      <c r="B7" s="2" t="s">
        <v>81</v>
      </c>
      <c r="C7" s="2" t="s">
        <v>55</v>
      </c>
      <c r="D7" s="2" t="s">
        <v>82</v>
      </c>
      <c r="E7" s="11">
        <v>46213</v>
      </c>
      <c r="F7" s="2" t="s">
        <v>270</v>
      </c>
      <c r="G7" s="2" t="s">
        <v>271</v>
      </c>
      <c r="H7" s="2" t="s">
        <v>60</v>
      </c>
      <c r="I7" s="2" t="s">
        <v>295</v>
      </c>
      <c r="J7" s="2"/>
      <c r="K7" s="2" t="s">
        <v>296</v>
      </c>
      <c r="L7" s="2" t="s">
        <v>274</v>
      </c>
      <c r="M7" s="2" t="s">
        <v>275</v>
      </c>
    </row>
    <row r="8" spans="1:13" x14ac:dyDescent="0.35">
      <c r="A8" s="2" t="s">
        <v>297</v>
      </c>
      <c r="B8" s="2" t="s">
        <v>86</v>
      </c>
      <c r="C8" s="2" t="s">
        <v>55</v>
      </c>
      <c r="D8" s="2" t="s">
        <v>87</v>
      </c>
      <c r="E8" s="11">
        <v>46213</v>
      </c>
      <c r="F8" s="2" t="s">
        <v>283</v>
      </c>
      <c r="G8" s="2" t="s">
        <v>284</v>
      </c>
      <c r="H8" s="2" t="s">
        <v>285</v>
      </c>
      <c r="I8" s="2" t="s">
        <v>298</v>
      </c>
      <c r="J8" s="2" t="s">
        <v>299</v>
      </c>
      <c r="K8" s="2" t="s">
        <v>300</v>
      </c>
      <c r="L8" s="2" t="s">
        <v>274</v>
      </c>
      <c r="M8" s="2" t="s">
        <v>289</v>
      </c>
    </row>
    <row r="9" spans="1:13" ht="29" x14ac:dyDescent="0.35">
      <c r="A9" s="2" t="s">
        <v>301</v>
      </c>
      <c r="B9" s="2" t="s">
        <v>91</v>
      </c>
      <c r="C9" s="2" t="s">
        <v>55</v>
      </c>
      <c r="D9" s="2" t="s">
        <v>92</v>
      </c>
      <c r="E9" s="11">
        <v>46213</v>
      </c>
      <c r="F9" s="2" t="s">
        <v>283</v>
      </c>
      <c r="G9" s="2" t="s">
        <v>284</v>
      </c>
      <c r="H9" s="2" t="s">
        <v>285</v>
      </c>
      <c r="I9" s="2" t="s">
        <v>302</v>
      </c>
      <c r="J9" s="2" t="s">
        <v>303</v>
      </c>
      <c r="K9" s="2" t="s">
        <v>304</v>
      </c>
      <c r="L9" s="2" t="s">
        <v>274</v>
      </c>
      <c r="M9" s="2" t="s">
        <v>289</v>
      </c>
    </row>
    <row r="10" spans="1:13" x14ac:dyDescent="0.35">
      <c r="A10" s="2" t="s">
        <v>305</v>
      </c>
      <c r="B10" s="2" t="s">
        <v>96</v>
      </c>
      <c r="C10" s="2" t="s">
        <v>55</v>
      </c>
      <c r="D10" s="2" t="s">
        <v>97</v>
      </c>
      <c r="E10" s="11">
        <v>46213</v>
      </c>
      <c r="F10" s="2" t="s">
        <v>270</v>
      </c>
      <c r="G10" s="2" t="s">
        <v>271</v>
      </c>
      <c r="H10" s="2" t="s">
        <v>60</v>
      </c>
      <c r="I10" s="2" t="s">
        <v>306</v>
      </c>
      <c r="J10" s="2"/>
      <c r="K10" s="2" t="s">
        <v>307</v>
      </c>
      <c r="L10" s="2" t="s">
        <v>274</v>
      </c>
      <c r="M10" s="2" t="s">
        <v>275</v>
      </c>
    </row>
    <row r="11" spans="1:13" x14ac:dyDescent="0.35">
      <c r="A11" s="2" t="s">
        <v>308</v>
      </c>
      <c r="B11" s="2" t="s">
        <v>101</v>
      </c>
      <c r="C11" s="2" t="s">
        <v>55</v>
      </c>
      <c r="D11" s="2" t="s">
        <v>102</v>
      </c>
      <c r="E11" s="11">
        <v>46213</v>
      </c>
      <c r="F11" s="2" t="s">
        <v>270</v>
      </c>
      <c r="G11" s="2" t="s">
        <v>271</v>
      </c>
      <c r="H11" s="2" t="s">
        <v>60</v>
      </c>
      <c r="I11" s="2" t="s">
        <v>309</v>
      </c>
      <c r="J11" s="2"/>
      <c r="K11" s="2" t="s">
        <v>310</v>
      </c>
      <c r="L11" s="2" t="s">
        <v>274</v>
      </c>
      <c r="M11" s="2" t="s">
        <v>275</v>
      </c>
    </row>
    <row r="12" spans="1:13" ht="29" x14ac:dyDescent="0.35">
      <c r="A12" s="2" t="s">
        <v>311</v>
      </c>
      <c r="B12" s="2" t="s">
        <v>106</v>
      </c>
      <c r="C12" s="2" t="s">
        <v>55</v>
      </c>
      <c r="D12" s="2" t="s">
        <v>107</v>
      </c>
      <c r="E12" s="11">
        <v>46213</v>
      </c>
      <c r="F12" s="2" t="s">
        <v>270</v>
      </c>
      <c r="G12" s="2" t="s">
        <v>271</v>
      </c>
      <c r="H12" s="2" t="s">
        <v>60</v>
      </c>
      <c r="I12" s="2" t="s">
        <v>312</v>
      </c>
      <c r="J12" s="2"/>
      <c r="K12" s="2" t="s">
        <v>313</v>
      </c>
      <c r="L12" s="2" t="s">
        <v>274</v>
      </c>
      <c r="M12" s="2" t="s">
        <v>275</v>
      </c>
    </row>
    <row r="13" spans="1:13" ht="29" x14ac:dyDescent="0.35">
      <c r="A13" s="2" t="s">
        <v>314</v>
      </c>
      <c r="B13" s="2" t="s">
        <v>111</v>
      </c>
      <c r="C13" s="2" t="s">
        <v>55</v>
      </c>
      <c r="D13" s="2" t="s">
        <v>112</v>
      </c>
      <c r="E13" s="11">
        <v>46213</v>
      </c>
      <c r="F13" s="2" t="s">
        <v>283</v>
      </c>
      <c r="G13" s="2" t="s">
        <v>284</v>
      </c>
      <c r="H13" s="2" t="s">
        <v>285</v>
      </c>
      <c r="I13" s="2" t="s">
        <v>315</v>
      </c>
      <c r="J13" s="2" t="s">
        <v>316</v>
      </c>
      <c r="K13" s="2" t="s">
        <v>317</v>
      </c>
      <c r="L13" s="2" t="s">
        <v>274</v>
      </c>
      <c r="M13" s="2" t="s">
        <v>318</v>
      </c>
    </row>
    <row r="14" spans="1:13" ht="29" x14ac:dyDescent="0.35">
      <c r="A14" s="2" t="s">
        <v>319</v>
      </c>
      <c r="B14" s="2" t="s">
        <v>116</v>
      </c>
      <c r="C14" s="2" t="s">
        <v>55</v>
      </c>
      <c r="D14" s="2" t="s">
        <v>117</v>
      </c>
      <c r="E14" s="11">
        <v>46213</v>
      </c>
      <c r="F14" s="2" t="s">
        <v>283</v>
      </c>
      <c r="G14" s="2" t="s">
        <v>284</v>
      </c>
      <c r="H14" s="2" t="s">
        <v>285</v>
      </c>
      <c r="I14" s="2" t="s">
        <v>320</v>
      </c>
      <c r="J14" s="2" t="s">
        <v>321</v>
      </c>
      <c r="K14" s="2" t="s">
        <v>322</v>
      </c>
      <c r="L14" s="2" t="s">
        <v>274</v>
      </c>
      <c r="M14" s="2" t="s">
        <v>289</v>
      </c>
    </row>
    <row r="15" spans="1:13" ht="29" x14ac:dyDescent="0.35">
      <c r="A15" s="2" t="s">
        <v>323</v>
      </c>
      <c r="B15" s="2" t="s">
        <v>121</v>
      </c>
      <c r="C15" s="2" t="s">
        <v>55</v>
      </c>
      <c r="D15" s="2" t="s">
        <v>122</v>
      </c>
      <c r="E15" s="11">
        <v>46213</v>
      </c>
      <c r="F15" s="2" t="s">
        <v>283</v>
      </c>
      <c r="G15" s="2" t="s">
        <v>284</v>
      </c>
      <c r="H15" s="2" t="s">
        <v>285</v>
      </c>
      <c r="I15" s="2" t="s">
        <v>324</v>
      </c>
      <c r="J15" s="2" t="s">
        <v>325</v>
      </c>
      <c r="K15" s="2" t="s">
        <v>326</v>
      </c>
      <c r="L15" s="2" t="s">
        <v>274</v>
      </c>
      <c r="M15" s="2" t="s">
        <v>289</v>
      </c>
    </row>
    <row r="16" spans="1:13" ht="29" x14ac:dyDescent="0.35">
      <c r="A16" s="2" t="s">
        <v>327</v>
      </c>
      <c r="B16" s="2" t="s">
        <v>126</v>
      </c>
      <c r="C16" s="2" t="s">
        <v>55</v>
      </c>
      <c r="D16" s="2" t="s">
        <v>127</v>
      </c>
      <c r="E16" s="11">
        <v>46213</v>
      </c>
      <c r="F16" s="2" t="s">
        <v>283</v>
      </c>
      <c r="G16" s="2" t="s">
        <v>284</v>
      </c>
      <c r="H16" s="2" t="s">
        <v>285</v>
      </c>
      <c r="I16" s="2" t="s">
        <v>328</v>
      </c>
      <c r="J16" s="2" t="s">
        <v>329</v>
      </c>
      <c r="K16" s="2" t="s">
        <v>330</v>
      </c>
      <c r="L16" s="2" t="s">
        <v>274</v>
      </c>
      <c r="M16" s="2" t="s">
        <v>289</v>
      </c>
    </row>
    <row r="17" spans="1:13" ht="29" x14ac:dyDescent="0.35">
      <c r="A17" s="2" t="s">
        <v>331</v>
      </c>
      <c r="B17" s="2" t="s">
        <v>131</v>
      </c>
      <c r="C17" s="2" t="s">
        <v>55</v>
      </c>
      <c r="D17" s="2" t="s">
        <v>132</v>
      </c>
      <c r="E17" s="11">
        <v>46213</v>
      </c>
      <c r="F17" s="2" t="s">
        <v>270</v>
      </c>
      <c r="G17" s="2" t="s">
        <v>271</v>
      </c>
      <c r="H17" s="2" t="s">
        <v>60</v>
      </c>
      <c r="I17" s="2" t="s">
        <v>332</v>
      </c>
      <c r="J17" s="2"/>
      <c r="K17" s="2" t="s">
        <v>333</v>
      </c>
      <c r="L17" s="2" t="s">
        <v>274</v>
      </c>
      <c r="M17" s="2" t="s">
        <v>275</v>
      </c>
    </row>
    <row r="18" spans="1:13" ht="29" x14ac:dyDescent="0.35">
      <c r="A18" s="2" t="s">
        <v>334</v>
      </c>
      <c r="B18" s="2" t="s">
        <v>136</v>
      </c>
      <c r="C18" s="2" t="s">
        <v>55</v>
      </c>
      <c r="D18" s="2" t="s">
        <v>137</v>
      </c>
      <c r="E18" s="11">
        <v>46213</v>
      </c>
      <c r="F18" s="2" t="s">
        <v>283</v>
      </c>
      <c r="G18" s="2" t="s">
        <v>284</v>
      </c>
      <c r="H18" s="2" t="s">
        <v>285</v>
      </c>
      <c r="I18" s="2" t="s">
        <v>335</v>
      </c>
      <c r="J18" s="2" t="s">
        <v>336</v>
      </c>
      <c r="K18" s="2" t="s">
        <v>337</v>
      </c>
      <c r="L18" s="2" t="s">
        <v>274</v>
      </c>
      <c r="M18" s="2" t="s">
        <v>289</v>
      </c>
    </row>
    <row r="19" spans="1:13" x14ac:dyDescent="0.35">
      <c r="A19" s="2" t="s">
        <v>338</v>
      </c>
      <c r="B19" s="2" t="s">
        <v>141</v>
      </c>
      <c r="C19" s="2" t="s">
        <v>55</v>
      </c>
      <c r="D19" s="2" t="s">
        <v>142</v>
      </c>
      <c r="E19" s="11">
        <v>46213</v>
      </c>
      <c r="F19" s="2" t="s">
        <v>270</v>
      </c>
      <c r="G19" s="2" t="s">
        <v>271</v>
      </c>
      <c r="H19" s="2" t="s">
        <v>60</v>
      </c>
      <c r="I19" s="2" t="s">
        <v>339</v>
      </c>
      <c r="J19" s="2"/>
      <c r="K19" s="2" t="s">
        <v>340</v>
      </c>
      <c r="L19" s="2" t="s">
        <v>274</v>
      </c>
      <c r="M19" s="2" t="s">
        <v>275</v>
      </c>
    </row>
    <row r="20" spans="1:13" ht="29" x14ac:dyDescent="0.35">
      <c r="A20" s="2" t="s">
        <v>341</v>
      </c>
      <c r="B20" s="2" t="s">
        <v>146</v>
      </c>
      <c r="C20" s="2" t="s">
        <v>55</v>
      </c>
      <c r="D20" s="2" t="s">
        <v>147</v>
      </c>
      <c r="E20" s="11">
        <v>46213</v>
      </c>
      <c r="F20" s="2" t="s">
        <v>283</v>
      </c>
      <c r="G20" s="2" t="s">
        <v>284</v>
      </c>
      <c r="H20" s="2" t="s">
        <v>285</v>
      </c>
      <c r="I20" s="2" t="s">
        <v>342</v>
      </c>
      <c r="J20" s="2" t="s">
        <v>343</v>
      </c>
      <c r="K20" s="2" t="s">
        <v>344</v>
      </c>
      <c r="L20" s="2" t="s">
        <v>274</v>
      </c>
      <c r="M20" s="2" t="s">
        <v>289</v>
      </c>
    </row>
    <row r="21" spans="1:13" ht="29" x14ac:dyDescent="0.35">
      <c r="A21" s="2" t="s">
        <v>345</v>
      </c>
      <c r="B21" s="2" t="s">
        <v>151</v>
      </c>
      <c r="C21" s="2" t="s">
        <v>55</v>
      </c>
      <c r="D21" s="2" t="s">
        <v>152</v>
      </c>
      <c r="E21" s="11">
        <v>46213</v>
      </c>
      <c r="F21" s="2" t="s">
        <v>283</v>
      </c>
      <c r="G21" s="2" t="s">
        <v>284</v>
      </c>
      <c r="H21" s="2" t="s">
        <v>285</v>
      </c>
      <c r="I21" s="2" t="s">
        <v>346</v>
      </c>
      <c r="J21" s="2" t="s">
        <v>347</v>
      </c>
      <c r="K21" s="2" t="s">
        <v>348</v>
      </c>
      <c r="L21" s="2" t="s">
        <v>274</v>
      </c>
      <c r="M21" s="2" t="s">
        <v>289</v>
      </c>
    </row>
    <row r="22" spans="1:13" ht="29" x14ac:dyDescent="0.35">
      <c r="A22" s="2" t="s">
        <v>349</v>
      </c>
      <c r="B22" s="2" t="s">
        <v>156</v>
      </c>
      <c r="C22" s="2" t="s">
        <v>55</v>
      </c>
      <c r="D22" s="2" t="s">
        <v>157</v>
      </c>
      <c r="E22" s="11">
        <v>46213</v>
      </c>
      <c r="F22" s="2" t="s">
        <v>270</v>
      </c>
      <c r="G22" s="2" t="s">
        <v>271</v>
      </c>
      <c r="H22" s="2" t="s">
        <v>60</v>
      </c>
      <c r="I22" s="2" t="s">
        <v>350</v>
      </c>
      <c r="J22" s="2"/>
      <c r="K22" s="2" t="s">
        <v>351</v>
      </c>
      <c r="L22" s="2" t="s">
        <v>274</v>
      </c>
      <c r="M22" s="2" t="s">
        <v>275</v>
      </c>
    </row>
    <row r="23" spans="1:13" ht="29" x14ac:dyDescent="0.35">
      <c r="A23" s="2" t="s">
        <v>352</v>
      </c>
      <c r="B23" s="2" t="s">
        <v>161</v>
      </c>
      <c r="C23" s="2" t="s">
        <v>55</v>
      </c>
      <c r="D23" s="2" t="s">
        <v>162</v>
      </c>
      <c r="E23" s="11">
        <v>46213</v>
      </c>
      <c r="F23" s="2" t="s">
        <v>283</v>
      </c>
      <c r="G23" s="2" t="s">
        <v>284</v>
      </c>
      <c r="H23" s="2" t="s">
        <v>285</v>
      </c>
      <c r="I23" s="2" t="s">
        <v>353</v>
      </c>
      <c r="J23" s="2" t="s">
        <v>354</v>
      </c>
      <c r="K23" s="2" t="s">
        <v>355</v>
      </c>
      <c r="L23" s="2" t="s">
        <v>274</v>
      </c>
      <c r="M23" s="2" t="s">
        <v>318</v>
      </c>
    </row>
    <row r="24" spans="1:13" ht="29" x14ac:dyDescent="0.35">
      <c r="A24" s="2" t="s">
        <v>356</v>
      </c>
      <c r="B24" s="2" t="s">
        <v>166</v>
      </c>
      <c r="C24" s="2" t="s">
        <v>55</v>
      </c>
      <c r="D24" s="2" t="s">
        <v>167</v>
      </c>
      <c r="E24" s="11">
        <v>46213</v>
      </c>
      <c r="F24" s="2" t="s">
        <v>357</v>
      </c>
      <c r="G24" s="2" t="s">
        <v>358</v>
      </c>
      <c r="H24" s="2" t="s">
        <v>359</v>
      </c>
      <c r="I24" s="2" t="s">
        <v>360</v>
      </c>
      <c r="J24" s="2" t="s">
        <v>361</v>
      </c>
      <c r="K24" s="2" t="s">
        <v>362</v>
      </c>
      <c r="L24" s="2" t="s">
        <v>274</v>
      </c>
      <c r="M24" s="2" t="s">
        <v>363</v>
      </c>
    </row>
    <row r="25" spans="1:13" ht="29" x14ac:dyDescent="0.35">
      <c r="A25" s="2" t="s">
        <v>364</v>
      </c>
      <c r="B25" s="2" t="s">
        <v>171</v>
      </c>
      <c r="C25" s="2" t="s">
        <v>55</v>
      </c>
      <c r="D25" s="2" t="s">
        <v>172</v>
      </c>
      <c r="E25" s="11">
        <v>46213</v>
      </c>
      <c r="F25" s="2" t="s">
        <v>283</v>
      </c>
      <c r="G25" s="2" t="s">
        <v>284</v>
      </c>
      <c r="H25" s="2" t="s">
        <v>285</v>
      </c>
      <c r="I25" s="2" t="s">
        <v>365</v>
      </c>
      <c r="J25" s="2" t="s">
        <v>366</v>
      </c>
      <c r="K25" s="2" t="s">
        <v>367</v>
      </c>
      <c r="L25" s="2" t="s">
        <v>274</v>
      </c>
      <c r="M25" s="2" t="s">
        <v>289</v>
      </c>
    </row>
    <row r="26" spans="1:13" x14ac:dyDescent="0.35">
      <c r="A26" s="2" t="s">
        <v>368</v>
      </c>
      <c r="B26" s="2" t="s">
        <v>176</v>
      </c>
      <c r="C26" s="2" t="s">
        <v>177</v>
      </c>
      <c r="D26" s="2" t="s">
        <v>178</v>
      </c>
      <c r="E26" s="11">
        <v>46213</v>
      </c>
      <c r="F26" s="2" t="s">
        <v>270</v>
      </c>
      <c r="G26" s="2" t="s">
        <v>271</v>
      </c>
      <c r="H26" s="2" t="s">
        <v>60</v>
      </c>
      <c r="I26" s="2" t="s">
        <v>369</v>
      </c>
      <c r="J26" s="2"/>
      <c r="K26" s="2" t="s">
        <v>370</v>
      </c>
      <c r="L26" s="2" t="s">
        <v>371</v>
      </c>
      <c r="M26" s="2" t="s">
        <v>275</v>
      </c>
    </row>
    <row r="27" spans="1:13" x14ac:dyDescent="0.35">
      <c r="A27" s="2" t="s">
        <v>372</v>
      </c>
      <c r="B27" s="2" t="s">
        <v>182</v>
      </c>
      <c r="C27" s="2" t="s">
        <v>177</v>
      </c>
      <c r="D27" s="2" t="s">
        <v>183</v>
      </c>
      <c r="E27" s="11">
        <v>46213</v>
      </c>
      <c r="F27" s="2" t="s">
        <v>270</v>
      </c>
      <c r="G27" s="2" t="s">
        <v>271</v>
      </c>
      <c r="H27" s="2" t="s">
        <v>60</v>
      </c>
      <c r="I27" s="2" t="s">
        <v>373</v>
      </c>
      <c r="J27" s="2"/>
      <c r="K27" s="2" t="s">
        <v>374</v>
      </c>
      <c r="L27" s="2" t="s">
        <v>371</v>
      </c>
      <c r="M27" s="2" t="s">
        <v>275</v>
      </c>
    </row>
    <row r="28" spans="1:13" ht="29" x14ac:dyDescent="0.35">
      <c r="A28" s="2" t="s">
        <v>375</v>
      </c>
      <c r="B28" s="2" t="s">
        <v>187</v>
      </c>
      <c r="C28" s="2" t="s">
        <v>177</v>
      </c>
      <c r="D28" s="2" t="s">
        <v>188</v>
      </c>
      <c r="E28" s="11">
        <v>46213</v>
      </c>
      <c r="F28" s="2" t="s">
        <v>270</v>
      </c>
      <c r="G28" s="2" t="s">
        <v>271</v>
      </c>
      <c r="H28" s="2" t="s">
        <v>60</v>
      </c>
      <c r="I28" s="2" t="s">
        <v>376</v>
      </c>
      <c r="J28" s="2"/>
      <c r="K28" s="2" t="s">
        <v>377</v>
      </c>
      <c r="L28" s="2" t="s">
        <v>371</v>
      </c>
      <c r="M28" s="2" t="s">
        <v>275</v>
      </c>
    </row>
    <row r="29" spans="1:13" ht="29" x14ac:dyDescent="0.35">
      <c r="A29" s="2" t="s">
        <v>378</v>
      </c>
      <c r="B29" s="2" t="s">
        <v>192</v>
      </c>
      <c r="C29" s="2" t="s">
        <v>177</v>
      </c>
      <c r="D29" s="2" t="s">
        <v>193</v>
      </c>
      <c r="E29" s="11">
        <v>46213</v>
      </c>
      <c r="F29" s="2" t="s">
        <v>283</v>
      </c>
      <c r="G29" s="2" t="s">
        <v>284</v>
      </c>
      <c r="H29" s="2" t="s">
        <v>285</v>
      </c>
      <c r="I29" s="2" t="s">
        <v>379</v>
      </c>
      <c r="J29" s="2" t="s">
        <v>380</v>
      </c>
      <c r="K29" s="2" t="s">
        <v>381</v>
      </c>
      <c r="L29" s="2" t="s">
        <v>371</v>
      </c>
      <c r="M29" s="2" t="s">
        <v>289</v>
      </c>
    </row>
    <row r="30" spans="1:13" x14ac:dyDescent="0.35">
      <c r="A30" s="2" t="s">
        <v>382</v>
      </c>
      <c r="B30" s="2" t="s">
        <v>197</v>
      </c>
      <c r="C30" s="2" t="s">
        <v>198</v>
      </c>
      <c r="D30" s="2" t="s">
        <v>199</v>
      </c>
      <c r="E30" s="11">
        <v>46213</v>
      </c>
      <c r="F30" s="2" t="s">
        <v>270</v>
      </c>
      <c r="G30" s="2" t="s">
        <v>271</v>
      </c>
      <c r="H30" s="2" t="s">
        <v>60</v>
      </c>
      <c r="I30" s="2" t="s">
        <v>383</v>
      </c>
      <c r="J30" s="2"/>
      <c r="K30" s="2" t="s">
        <v>384</v>
      </c>
      <c r="L30" s="2" t="s">
        <v>385</v>
      </c>
      <c r="M30" s="2" t="s">
        <v>275</v>
      </c>
    </row>
    <row r="31" spans="1:13" x14ac:dyDescent="0.35">
      <c r="A31" s="2" t="s">
        <v>386</v>
      </c>
      <c r="B31" s="2" t="s">
        <v>203</v>
      </c>
      <c r="C31" s="2" t="s">
        <v>198</v>
      </c>
      <c r="D31" s="2" t="s">
        <v>204</v>
      </c>
      <c r="E31" s="11">
        <v>46213</v>
      </c>
      <c r="F31" s="2" t="s">
        <v>270</v>
      </c>
      <c r="G31" s="2" t="s">
        <v>271</v>
      </c>
      <c r="H31" s="2" t="s">
        <v>60</v>
      </c>
      <c r="I31" s="2" t="s">
        <v>387</v>
      </c>
      <c r="J31" s="2"/>
      <c r="K31" s="2" t="s">
        <v>388</v>
      </c>
      <c r="L31" s="2" t="s">
        <v>385</v>
      </c>
      <c r="M31" s="2" t="s">
        <v>275</v>
      </c>
    </row>
    <row r="32" spans="1:13" ht="29" x14ac:dyDescent="0.35">
      <c r="A32" s="2" t="s">
        <v>389</v>
      </c>
      <c r="B32" s="2" t="s">
        <v>208</v>
      </c>
      <c r="C32" s="2" t="s">
        <v>198</v>
      </c>
      <c r="D32" s="2" t="s">
        <v>209</v>
      </c>
      <c r="E32" s="11">
        <v>46213</v>
      </c>
      <c r="F32" s="2" t="s">
        <v>283</v>
      </c>
      <c r="G32" s="2" t="s">
        <v>284</v>
      </c>
      <c r="H32" s="2" t="s">
        <v>285</v>
      </c>
      <c r="I32" s="2" t="s">
        <v>390</v>
      </c>
      <c r="J32" s="2" t="s">
        <v>391</v>
      </c>
      <c r="K32" s="2" t="s">
        <v>392</v>
      </c>
      <c r="L32" s="2" t="s">
        <v>385</v>
      </c>
      <c r="M32" s="2" t="s">
        <v>289</v>
      </c>
    </row>
    <row r="33" spans="1:13" x14ac:dyDescent="0.35">
      <c r="A33" s="2" t="s">
        <v>393</v>
      </c>
      <c r="B33" s="2" t="s">
        <v>213</v>
      </c>
      <c r="C33" s="2" t="s">
        <v>198</v>
      </c>
      <c r="D33" s="2" t="s">
        <v>214</v>
      </c>
      <c r="E33" s="11">
        <v>46213</v>
      </c>
      <c r="F33" s="2" t="s">
        <v>270</v>
      </c>
      <c r="G33" s="2" t="s">
        <v>271</v>
      </c>
      <c r="H33" s="2" t="s">
        <v>60</v>
      </c>
      <c r="I33" s="2" t="s">
        <v>394</v>
      </c>
      <c r="J33" s="2"/>
      <c r="K33" s="2" t="s">
        <v>395</v>
      </c>
      <c r="L33" s="2" t="s">
        <v>385</v>
      </c>
      <c r="M33" s="2" t="s">
        <v>275</v>
      </c>
    </row>
    <row r="34" spans="1:13" x14ac:dyDescent="0.35">
      <c r="A34" s="2" t="s">
        <v>396</v>
      </c>
      <c r="B34" s="2" t="s">
        <v>218</v>
      </c>
      <c r="C34" s="2" t="s">
        <v>198</v>
      </c>
      <c r="D34" s="2" t="s">
        <v>219</v>
      </c>
      <c r="E34" s="11">
        <v>46213</v>
      </c>
      <c r="F34" s="2" t="s">
        <v>283</v>
      </c>
      <c r="G34" s="2" t="s">
        <v>284</v>
      </c>
      <c r="H34" s="2" t="s">
        <v>285</v>
      </c>
      <c r="I34" s="2" t="s">
        <v>397</v>
      </c>
      <c r="J34" s="2" t="s">
        <v>398</v>
      </c>
      <c r="K34" s="2" t="s">
        <v>399</v>
      </c>
      <c r="L34" s="2" t="s">
        <v>385</v>
      </c>
      <c r="M34" s="2" t="s">
        <v>289</v>
      </c>
    </row>
    <row r="35" spans="1:13" x14ac:dyDescent="0.35">
      <c r="A35" s="2" t="s">
        <v>400</v>
      </c>
      <c r="B35" s="2" t="s">
        <v>223</v>
      </c>
      <c r="C35" s="2" t="s">
        <v>224</v>
      </c>
      <c r="D35" s="2" t="s">
        <v>225</v>
      </c>
      <c r="E35" s="11">
        <v>46213</v>
      </c>
      <c r="F35" s="2" t="s">
        <v>283</v>
      </c>
      <c r="G35" s="2" t="s">
        <v>284</v>
      </c>
      <c r="H35" s="2" t="s">
        <v>285</v>
      </c>
      <c r="I35" s="2" t="s">
        <v>401</v>
      </c>
      <c r="J35" s="2" t="s">
        <v>402</v>
      </c>
      <c r="K35" s="2" t="s">
        <v>403</v>
      </c>
      <c r="L35" s="2" t="s">
        <v>404</v>
      </c>
      <c r="M35" s="2" t="s">
        <v>318</v>
      </c>
    </row>
    <row r="36" spans="1:13" ht="29" x14ac:dyDescent="0.35">
      <c r="A36" s="2" t="s">
        <v>405</v>
      </c>
      <c r="B36" s="2" t="s">
        <v>229</v>
      </c>
      <c r="C36" s="2" t="s">
        <v>224</v>
      </c>
      <c r="D36" s="2" t="s">
        <v>230</v>
      </c>
      <c r="E36" s="11">
        <v>46213</v>
      </c>
      <c r="F36" s="2" t="s">
        <v>283</v>
      </c>
      <c r="G36" s="2" t="s">
        <v>284</v>
      </c>
      <c r="H36" s="2" t="s">
        <v>285</v>
      </c>
      <c r="I36" s="2" t="s">
        <v>406</v>
      </c>
      <c r="J36" s="2" t="s">
        <v>407</v>
      </c>
      <c r="K36" s="2" t="s">
        <v>408</v>
      </c>
      <c r="L36" s="2" t="s">
        <v>404</v>
      </c>
      <c r="M36" s="2" t="s">
        <v>318</v>
      </c>
    </row>
    <row r="37" spans="1:13" x14ac:dyDescent="0.35">
      <c r="A37" s="2" t="s">
        <v>409</v>
      </c>
      <c r="B37" s="2" t="s">
        <v>234</v>
      </c>
      <c r="C37" s="2" t="s">
        <v>224</v>
      </c>
      <c r="D37" s="2" t="s">
        <v>235</v>
      </c>
      <c r="E37" s="11">
        <v>46213</v>
      </c>
      <c r="F37" s="2" t="s">
        <v>270</v>
      </c>
      <c r="G37" s="2" t="s">
        <v>271</v>
      </c>
      <c r="H37" s="2" t="s">
        <v>60</v>
      </c>
      <c r="I37" s="2" t="s">
        <v>410</v>
      </c>
      <c r="J37" s="2"/>
      <c r="K37" s="2" t="s">
        <v>411</v>
      </c>
      <c r="L37" s="2" t="s">
        <v>404</v>
      </c>
      <c r="M37" s="2" t="s">
        <v>275</v>
      </c>
    </row>
    <row r="38" spans="1:13" ht="29" x14ac:dyDescent="0.35">
      <c r="A38" s="2" t="s">
        <v>412</v>
      </c>
      <c r="B38" s="2" t="s">
        <v>239</v>
      </c>
      <c r="C38" s="2" t="s">
        <v>224</v>
      </c>
      <c r="D38" s="2" t="s">
        <v>240</v>
      </c>
      <c r="E38" s="11">
        <v>46213</v>
      </c>
      <c r="F38" s="2" t="s">
        <v>283</v>
      </c>
      <c r="G38" s="2" t="s">
        <v>284</v>
      </c>
      <c r="H38" s="2" t="s">
        <v>285</v>
      </c>
      <c r="I38" s="2" t="s">
        <v>413</v>
      </c>
      <c r="J38" s="2" t="s">
        <v>414</v>
      </c>
      <c r="K38" s="2" t="s">
        <v>415</v>
      </c>
      <c r="L38" s="2" t="s">
        <v>404</v>
      </c>
      <c r="M38" s="2" t="s">
        <v>318</v>
      </c>
    </row>
    <row r="39" spans="1:13" x14ac:dyDescent="0.35">
      <c r="A39" s="2" t="s">
        <v>416</v>
      </c>
      <c r="B39" s="2" t="s">
        <v>244</v>
      </c>
      <c r="C39" s="2" t="s">
        <v>224</v>
      </c>
      <c r="D39" s="2" t="s">
        <v>245</v>
      </c>
      <c r="E39" s="11">
        <v>46213</v>
      </c>
      <c r="F39" s="2" t="s">
        <v>270</v>
      </c>
      <c r="G39" s="2" t="s">
        <v>271</v>
      </c>
      <c r="H39" s="2" t="s">
        <v>60</v>
      </c>
      <c r="I39" s="2" t="s">
        <v>417</v>
      </c>
      <c r="J39" s="2"/>
      <c r="K39" s="2" t="s">
        <v>418</v>
      </c>
      <c r="L39" s="2" t="s">
        <v>404</v>
      </c>
      <c r="M39" s="2" t="s">
        <v>275</v>
      </c>
    </row>
    <row r="40" spans="1:13" ht="29" x14ac:dyDescent="0.35">
      <c r="A40" s="2" t="s">
        <v>419</v>
      </c>
      <c r="B40" s="2" t="s">
        <v>249</v>
      </c>
      <c r="C40" s="2" t="s">
        <v>224</v>
      </c>
      <c r="D40" s="2" t="s">
        <v>250</v>
      </c>
      <c r="E40" s="11">
        <v>46213</v>
      </c>
      <c r="F40" s="2" t="s">
        <v>283</v>
      </c>
      <c r="G40" s="2" t="s">
        <v>284</v>
      </c>
      <c r="H40" s="2" t="s">
        <v>285</v>
      </c>
      <c r="I40" s="2" t="s">
        <v>420</v>
      </c>
      <c r="J40" s="2" t="s">
        <v>421</v>
      </c>
      <c r="K40" s="2" t="s">
        <v>422</v>
      </c>
      <c r="L40" s="2" t="s">
        <v>404</v>
      </c>
      <c r="M40" s="2" t="s">
        <v>289</v>
      </c>
    </row>
    <row r="41" spans="1:13" ht="29" x14ac:dyDescent="0.35">
      <c r="A41" s="2" t="s">
        <v>423</v>
      </c>
      <c r="B41" s="2" t="s">
        <v>254</v>
      </c>
      <c r="C41" s="2" t="s">
        <v>224</v>
      </c>
      <c r="D41" s="2" t="s">
        <v>255</v>
      </c>
      <c r="E41" s="11">
        <v>46213</v>
      </c>
      <c r="F41" s="2" t="s">
        <v>357</v>
      </c>
      <c r="G41" s="2" t="s">
        <v>358</v>
      </c>
      <c r="H41" s="2" t="s">
        <v>359</v>
      </c>
      <c r="I41" s="2" t="s">
        <v>424</v>
      </c>
      <c r="J41" s="2" t="s">
        <v>425</v>
      </c>
      <c r="K41" s="2" t="s">
        <v>426</v>
      </c>
      <c r="L41" s="2" t="s">
        <v>404</v>
      </c>
      <c r="M41" s="2" t="s">
        <v>363</v>
      </c>
    </row>
  </sheetData>
  <conditionalFormatting sqref="F2:F41">
    <cfRule type="cellIs" dxfId="7" priority="1" operator="equal">
      <formula>"Not Implemented"</formula>
    </cfRule>
    <cfRule type="cellIs" dxfId="6" priority="2" operator="equal">
      <formula>"Partially Implemented"</formula>
    </cfRule>
  </conditionalFormatting>
  <dataValidations count="3">
    <dataValidation type="list" sqref="F2:F41" xr:uid="{00000000-0002-0000-0300-000000000000}">
      <formula1>"Implemented,Partially Implemented,Not Implemented,Not Applicable"</formula1>
    </dataValidation>
    <dataValidation type="list" sqref="H2:H41" xr:uid="{00000000-0002-0000-0300-000001000000}">
      <formula1>"Yes,Partial,No"</formula1>
    </dataValidation>
    <dataValidation type="list" sqref="M2:M41" xr:uid="{00000000-0002-0000-0300-000002000000}">
      <formula1>"Low,Medium,High,Critical"</formula1>
    </dataValidation>
  </dataValidations>
  <pageMargins left="0.75" right="0.75" top="1" bottom="1" header="0.5" footer="0.5"/>
  <pageSetup fitToHeight="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T14"/>
  <sheetViews>
    <sheetView showGridLines="0" topLeftCell="K1" zoomScale="62" workbookViewId="0">
      <pane ySplit="1" topLeftCell="A4" activePane="bottomLeft" state="frozen"/>
      <selection pane="bottomLeft" activeCell="K24" sqref="K24"/>
    </sheetView>
  </sheetViews>
  <sheetFormatPr defaultRowHeight="14.5" x14ac:dyDescent="0.35"/>
  <cols>
    <col min="1" max="1" width="14.6328125" customWidth="1"/>
    <col min="2" max="2" width="19.90625" customWidth="1"/>
    <col min="3" max="3" width="40" customWidth="1"/>
    <col min="4" max="4" width="60" customWidth="1"/>
    <col min="5" max="5" width="28" customWidth="1"/>
    <col min="6" max="6" width="34.6328125" customWidth="1"/>
    <col min="7" max="7" width="44.08984375" customWidth="1"/>
    <col min="8" max="8" width="19.7265625" customWidth="1"/>
    <col min="9" max="9" width="16.453125" customWidth="1"/>
    <col min="10" max="10" width="25.7265625" customWidth="1"/>
    <col min="11" max="11" width="27.26953125" style="8" customWidth="1"/>
    <col min="12" max="12" width="24" customWidth="1"/>
    <col min="13" max="13" width="19.36328125" customWidth="1"/>
    <col min="14" max="14" width="60" customWidth="1"/>
    <col min="15" max="15" width="17.81640625" customWidth="1"/>
    <col min="16" max="16" width="16.7265625" customWidth="1"/>
    <col min="17" max="17" width="19.1796875" customWidth="1"/>
    <col min="18" max="18" width="17.26953125" customWidth="1"/>
    <col min="19" max="19" width="17.6328125" customWidth="1"/>
    <col min="20" max="20" width="21.6328125" style="8" customWidth="1"/>
  </cols>
  <sheetData>
    <row r="1" spans="1:20" ht="32" customHeight="1" x14ac:dyDescent="0.35">
      <c r="A1" s="9" t="s">
        <v>427</v>
      </c>
      <c r="B1" s="3" t="s">
        <v>259</v>
      </c>
      <c r="C1" s="3" t="s">
        <v>428</v>
      </c>
      <c r="D1" s="3" t="s">
        <v>429</v>
      </c>
      <c r="E1" s="3" t="s">
        <v>430</v>
      </c>
      <c r="F1" s="3" t="s">
        <v>431</v>
      </c>
      <c r="G1" s="3" t="s">
        <v>432</v>
      </c>
      <c r="H1" s="3" t="s">
        <v>433</v>
      </c>
      <c r="I1" s="3" t="s">
        <v>434</v>
      </c>
      <c r="J1" s="3" t="s">
        <v>435</v>
      </c>
      <c r="K1" s="3" t="s">
        <v>436</v>
      </c>
      <c r="L1" s="3" t="s">
        <v>437</v>
      </c>
      <c r="M1" s="3" t="s">
        <v>438</v>
      </c>
      <c r="N1" s="3" t="s">
        <v>439</v>
      </c>
      <c r="O1" s="3" t="s">
        <v>440</v>
      </c>
      <c r="P1" s="3" t="s">
        <v>261</v>
      </c>
      <c r="Q1" s="3" t="s">
        <v>441</v>
      </c>
      <c r="R1" s="3" t="s">
        <v>442</v>
      </c>
      <c r="S1" s="3" t="s">
        <v>443</v>
      </c>
      <c r="T1" s="3" t="s">
        <v>444</v>
      </c>
    </row>
    <row r="2" spans="1:20" ht="29" x14ac:dyDescent="0.35">
      <c r="A2" s="2" t="s">
        <v>445</v>
      </c>
      <c r="B2" s="2" t="s">
        <v>282</v>
      </c>
      <c r="C2" s="2" t="s">
        <v>446</v>
      </c>
      <c r="D2" s="2" t="s">
        <v>447</v>
      </c>
      <c r="E2" s="2" t="s">
        <v>448</v>
      </c>
      <c r="F2" s="2" t="s">
        <v>449</v>
      </c>
      <c r="G2" s="2" t="s">
        <v>450</v>
      </c>
      <c r="H2" s="2">
        <v>3</v>
      </c>
      <c r="I2" s="2">
        <v>4</v>
      </c>
      <c r="J2" s="2">
        <f t="shared" ref="J2:J14" si="0">H2*I2</f>
        <v>12</v>
      </c>
      <c r="K2" s="7" t="str">
        <f t="shared" ref="K2:K14" si="1">IF(J2&lt;=4,"Low",IF(J2&lt;=9,"Medium",IF(J2&lt;=16,"High","Critical")))</f>
        <v>High</v>
      </c>
      <c r="L2" s="2" t="s">
        <v>404</v>
      </c>
      <c r="M2" s="2" t="s">
        <v>451</v>
      </c>
      <c r="N2" s="2" t="s">
        <v>452</v>
      </c>
      <c r="O2" s="2" t="s">
        <v>453</v>
      </c>
      <c r="P2" s="2" t="s">
        <v>454</v>
      </c>
      <c r="Q2" s="2">
        <v>2</v>
      </c>
      <c r="R2" s="2">
        <v>3</v>
      </c>
      <c r="S2" s="2">
        <f t="shared" ref="S2:S14" si="2">Q2*R2</f>
        <v>6</v>
      </c>
      <c r="T2" s="7" t="str">
        <f t="shared" ref="T2:T14" si="3">IF(S2&lt;=4,"Low",IF(S2&lt;=9,"Medium",IF(S2&lt;=16,"High","Critical")))</f>
        <v>Medium</v>
      </c>
    </row>
    <row r="3" spans="1:20" ht="29" x14ac:dyDescent="0.35">
      <c r="A3" s="2" t="s">
        <v>455</v>
      </c>
      <c r="B3" s="2" t="s">
        <v>290</v>
      </c>
      <c r="C3" s="2" t="s">
        <v>456</v>
      </c>
      <c r="D3" s="2" t="s">
        <v>457</v>
      </c>
      <c r="E3" s="2" t="s">
        <v>458</v>
      </c>
      <c r="F3" s="2" t="s">
        <v>459</v>
      </c>
      <c r="G3" s="2" t="s">
        <v>460</v>
      </c>
      <c r="H3" s="2">
        <v>4</v>
      </c>
      <c r="I3" s="2">
        <v>4</v>
      </c>
      <c r="J3" s="2">
        <f t="shared" si="0"/>
        <v>16</v>
      </c>
      <c r="K3" s="7" t="str">
        <f t="shared" si="1"/>
        <v>High</v>
      </c>
      <c r="L3" s="2" t="s">
        <v>461</v>
      </c>
      <c r="M3" s="2" t="s">
        <v>451</v>
      </c>
      <c r="N3" s="2" t="s">
        <v>462</v>
      </c>
      <c r="O3" s="2" t="s">
        <v>463</v>
      </c>
      <c r="P3" s="2" t="s">
        <v>454</v>
      </c>
      <c r="Q3" s="2">
        <v>3</v>
      </c>
      <c r="R3" s="2">
        <v>3</v>
      </c>
      <c r="S3" s="2">
        <f t="shared" si="2"/>
        <v>9</v>
      </c>
      <c r="T3" s="7" t="str">
        <f t="shared" si="3"/>
        <v>Medium</v>
      </c>
    </row>
    <row r="4" spans="1:20" x14ac:dyDescent="0.35">
      <c r="A4" s="2" t="s">
        <v>464</v>
      </c>
      <c r="B4" s="2" t="s">
        <v>297</v>
      </c>
      <c r="C4" s="2" t="s">
        <v>465</v>
      </c>
      <c r="D4" s="2" t="s">
        <v>466</v>
      </c>
      <c r="E4" s="2" t="s">
        <v>467</v>
      </c>
      <c r="F4" s="2" t="s">
        <v>468</v>
      </c>
      <c r="G4" s="2" t="s">
        <v>469</v>
      </c>
      <c r="H4" s="2">
        <v>3</v>
      </c>
      <c r="I4" s="2">
        <v>4</v>
      </c>
      <c r="J4" s="2">
        <f t="shared" si="0"/>
        <v>12</v>
      </c>
      <c r="K4" s="7" t="str">
        <f t="shared" si="1"/>
        <v>High</v>
      </c>
      <c r="L4" s="2" t="s">
        <v>274</v>
      </c>
      <c r="M4" s="2" t="s">
        <v>451</v>
      </c>
      <c r="N4" s="2" t="s">
        <v>470</v>
      </c>
      <c r="O4" s="2" t="s">
        <v>471</v>
      </c>
      <c r="P4" s="2" t="s">
        <v>454</v>
      </c>
      <c r="Q4" s="2">
        <v>2</v>
      </c>
      <c r="R4" s="2">
        <v>3</v>
      </c>
      <c r="S4" s="2">
        <f t="shared" si="2"/>
        <v>6</v>
      </c>
      <c r="T4" s="7" t="str">
        <f t="shared" si="3"/>
        <v>Medium</v>
      </c>
    </row>
    <row r="5" spans="1:20" ht="29" x14ac:dyDescent="0.35">
      <c r="A5" s="2" t="s">
        <v>472</v>
      </c>
      <c r="B5" s="2" t="s">
        <v>314</v>
      </c>
      <c r="C5" s="2" t="s">
        <v>473</v>
      </c>
      <c r="D5" s="2" t="s">
        <v>474</v>
      </c>
      <c r="E5" s="2" t="s">
        <v>475</v>
      </c>
      <c r="F5" s="2" t="s">
        <v>476</v>
      </c>
      <c r="G5" s="2" t="s">
        <v>477</v>
      </c>
      <c r="H5" s="2">
        <v>4</v>
      </c>
      <c r="I5" s="2">
        <v>5</v>
      </c>
      <c r="J5" s="2">
        <f t="shared" si="0"/>
        <v>20</v>
      </c>
      <c r="K5" s="7" t="str">
        <f t="shared" si="1"/>
        <v>Critical</v>
      </c>
      <c r="L5" s="2" t="s">
        <v>404</v>
      </c>
      <c r="M5" s="2" t="s">
        <v>451</v>
      </c>
      <c r="N5" s="2" t="s">
        <v>478</v>
      </c>
      <c r="O5" s="2" t="s">
        <v>479</v>
      </c>
      <c r="P5" s="2" t="s">
        <v>480</v>
      </c>
      <c r="Q5" s="2">
        <v>3</v>
      </c>
      <c r="R5" s="2">
        <v>4</v>
      </c>
      <c r="S5" s="2">
        <f t="shared" si="2"/>
        <v>12</v>
      </c>
      <c r="T5" s="7" t="str">
        <f t="shared" si="3"/>
        <v>High</v>
      </c>
    </row>
    <row r="6" spans="1:20" ht="29" x14ac:dyDescent="0.35">
      <c r="A6" s="2" t="s">
        <v>481</v>
      </c>
      <c r="B6" s="2" t="s">
        <v>327</v>
      </c>
      <c r="C6" s="2" t="s">
        <v>482</v>
      </c>
      <c r="D6" s="2" t="s">
        <v>483</v>
      </c>
      <c r="E6" s="2" t="s">
        <v>484</v>
      </c>
      <c r="F6" s="2" t="s">
        <v>485</v>
      </c>
      <c r="G6" s="2" t="s">
        <v>486</v>
      </c>
      <c r="H6" s="2">
        <v>3</v>
      </c>
      <c r="I6" s="2">
        <v>4</v>
      </c>
      <c r="J6" s="2">
        <f t="shared" si="0"/>
        <v>12</v>
      </c>
      <c r="K6" s="7" t="str">
        <f t="shared" si="1"/>
        <v>High</v>
      </c>
      <c r="L6" s="2" t="s">
        <v>461</v>
      </c>
      <c r="M6" s="2" t="s">
        <v>451</v>
      </c>
      <c r="N6" s="2" t="s">
        <v>487</v>
      </c>
      <c r="O6" s="2" t="s">
        <v>488</v>
      </c>
      <c r="P6" s="2" t="s">
        <v>454</v>
      </c>
      <c r="Q6" s="2">
        <v>2</v>
      </c>
      <c r="R6" s="2">
        <v>3</v>
      </c>
      <c r="S6" s="2">
        <f t="shared" si="2"/>
        <v>6</v>
      </c>
      <c r="T6" s="7" t="str">
        <f t="shared" si="3"/>
        <v>Medium</v>
      </c>
    </row>
    <row r="7" spans="1:20" ht="29" x14ac:dyDescent="0.35">
      <c r="A7" s="2" t="s">
        <v>489</v>
      </c>
      <c r="B7" s="2" t="s">
        <v>334</v>
      </c>
      <c r="C7" s="2" t="s">
        <v>490</v>
      </c>
      <c r="D7" s="2" t="s">
        <v>491</v>
      </c>
      <c r="E7" s="2" t="s">
        <v>492</v>
      </c>
      <c r="F7" s="2" t="s">
        <v>493</v>
      </c>
      <c r="G7" s="2" t="s">
        <v>494</v>
      </c>
      <c r="H7" s="2">
        <v>3</v>
      </c>
      <c r="I7" s="2">
        <v>4</v>
      </c>
      <c r="J7" s="2">
        <f t="shared" si="0"/>
        <v>12</v>
      </c>
      <c r="K7" s="7" t="str">
        <f t="shared" si="1"/>
        <v>High</v>
      </c>
      <c r="L7" s="2" t="s">
        <v>495</v>
      </c>
      <c r="M7" s="2" t="s">
        <v>451</v>
      </c>
      <c r="N7" s="2" t="s">
        <v>496</v>
      </c>
      <c r="O7" s="2" t="s">
        <v>497</v>
      </c>
      <c r="P7" s="2" t="s">
        <v>480</v>
      </c>
      <c r="Q7" s="2">
        <v>2</v>
      </c>
      <c r="R7" s="2">
        <v>3</v>
      </c>
      <c r="S7" s="2">
        <f t="shared" si="2"/>
        <v>6</v>
      </c>
      <c r="T7" s="7" t="str">
        <f t="shared" si="3"/>
        <v>Medium</v>
      </c>
    </row>
    <row r="8" spans="1:20" ht="29" x14ac:dyDescent="0.35">
      <c r="A8" s="2" t="s">
        <v>498</v>
      </c>
      <c r="B8" s="2" t="s">
        <v>352</v>
      </c>
      <c r="C8" s="2" t="s">
        <v>499</v>
      </c>
      <c r="D8" s="2" t="s">
        <v>500</v>
      </c>
      <c r="E8" s="2" t="s">
        <v>501</v>
      </c>
      <c r="F8" s="2" t="s">
        <v>502</v>
      </c>
      <c r="G8" s="2" t="s">
        <v>503</v>
      </c>
      <c r="H8" s="2">
        <v>4</v>
      </c>
      <c r="I8" s="2">
        <v>5</v>
      </c>
      <c r="J8" s="2">
        <f t="shared" si="0"/>
        <v>20</v>
      </c>
      <c r="K8" s="7" t="str">
        <f t="shared" si="1"/>
        <v>Critical</v>
      </c>
      <c r="L8" s="2" t="s">
        <v>504</v>
      </c>
      <c r="M8" s="2" t="s">
        <v>451</v>
      </c>
      <c r="N8" s="2" t="s">
        <v>505</v>
      </c>
      <c r="O8" s="2" t="s">
        <v>453</v>
      </c>
      <c r="P8" s="2" t="s">
        <v>454</v>
      </c>
      <c r="Q8" s="2">
        <v>3</v>
      </c>
      <c r="R8" s="2">
        <v>4</v>
      </c>
      <c r="S8" s="2">
        <f t="shared" si="2"/>
        <v>12</v>
      </c>
      <c r="T8" s="7" t="str">
        <f t="shared" si="3"/>
        <v>High</v>
      </c>
    </row>
    <row r="9" spans="1:20" ht="29" x14ac:dyDescent="0.35">
      <c r="A9" s="2" t="s">
        <v>506</v>
      </c>
      <c r="B9" s="2" t="s">
        <v>356</v>
      </c>
      <c r="C9" s="2" t="s">
        <v>507</v>
      </c>
      <c r="D9" s="2" t="s">
        <v>508</v>
      </c>
      <c r="E9" s="2" t="s">
        <v>509</v>
      </c>
      <c r="F9" s="2" t="s">
        <v>510</v>
      </c>
      <c r="G9" s="2" t="s">
        <v>511</v>
      </c>
      <c r="H9" s="2">
        <v>3</v>
      </c>
      <c r="I9" s="2">
        <v>5</v>
      </c>
      <c r="J9" s="2">
        <f t="shared" si="0"/>
        <v>15</v>
      </c>
      <c r="K9" s="7" t="str">
        <f t="shared" si="1"/>
        <v>High</v>
      </c>
      <c r="L9" s="2" t="s">
        <v>512</v>
      </c>
      <c r="M9" s="2" t="s">
        <v>451</v>
      </c>
      <c r="N9" s="2" t="s">
        <v>513</v>
      </c>
      <c r="O9" s="2" t="s">
        <v>514</v>
      </c>
      <c r="P9" s="2" t="s">
        <v>454</v>
      </c>
      <c r="Q9" s="2">
        <v>2</v>
      </c>
      <c r="R9" s="2">
        <v>4</v>
      </c>
      <c r="S9" s="2">
        <f t="shared" si="2"/>
        <v>8</v>
      </c>
      <c r="T9" s="7" t="str">
        <f t="shared" si="3"/>
        <v>Medium</v>
      </c>
    </row>
    <row r="10" spans="1:20" ht="29" x14ac:dyDescent="0.35">
      <c r="A10" s="2" t="s">
        <v>515</v>
      </c>
      <c r="B10" s="2" t="s">
        <v>378</v>
      </c>
      <c r="C10" s="2" t="s">
        <v>516</v>
      </c>
      <c r="D10" s="2" t="s">
        <v>517</v>
      </c>
      <c r="E10" s="2" t="s">
        <v>518</v>
      </c>
      <c r="F10" s="2" t="s">
        <v>519</v>
      </c>
      <c r="G10" s="2" t="s">
        <v>520</v>
      </c>
      <c r="H10" s="2">
        <v>3</v>
      </c>
      <c r="I10" s="2">
        <v>5</v>
      </c>
      <c r="J10" s="2">
        <f t="shared" si="0"/>
        <v>15</v>
      </c>
      <c r="K10" s="7" t="str">
        <f t="shared" si="1"/>
        <v>High</v>
      </c>
      <c r="L10" s="2" t="s">
        <v>461</v>
      </c>
      <c r="M10" s="2" t="s">
        <v>451</v>
      </c>
      <c r="N10" s="2" t="s">
        <v>521</v>
      </c>
      <c r="O10" s="2" t="s">
        <v>453</v>
      </c>
      <c r="P10" s="2" t="s">
        <v>454</v>
      </c>
      <c r="Q10" s="2">
        <v>2</v>
      </c>
      <c r="R10" s="2">
        <v>4</v>
      </c>
      <c r="S10" s="2">
        <f t="shared" si="2"/>
        <v>8</v>
      </c>
      <c r="T10" s="7" t="str">
        <f t="shared" si="3"/>
        <v>Medium</v>
      </c>
    </row>
    <row r="11" spans="1:20" ht="29" x14ac:dyDescent="0.35">
      <c r="A11" s="2" t="s">
        <v>522</v>
      </c>
      <c r="B11" s="2" t="s">
        <v>400</v>
      </c>
      <c r="C11" s="2" t="s">
        <v>523</v>
      </c>
      <c r="D11" s="2" t="s">
        <v>524</v>
      </c>
      <c r="E11" s="2" t="s">
        <v>525</v>
      </c>
      <c r="F11" s="2" t="s">
        <v>526</v>
      </c>
      <c r="G11" s="2" t="s">
        <v>527</v>
      </c>
      <c r="H11" s="2">
        <v>4</v>
      </c>
      <c r="I11" s="2">
        <v>5</v>
      </c>
      <c r="J11" s="2">
        <f t="shared" si="0"/>
        <v>20</v>
      </c>
      <c r="K11" s="7" t="str">
        <f t="shared" si="1"/>
        <v>Critical</v>
      </c>
      <c r="L11" s="2" t="s">
        <v>404</v>
      </c>
      <c r="M11" s="2" t="s">
        <v>451</v>
      </c>
      <c r="N11" s="2" t="s">
        <v>528</v>
      </c>
      <c r="O11" s="2" t="s">
        <v>479</v>
      </c>
      <c r="P11" s="2" t="s">
        <v>480</v>
      </c>
      <c r="Q11" s="2">
        <v>3</v>
      </c>
      <c r="R11" s="2">
        <v>4</v>
      </c>
      <c r="S11" s="2">
        <f t="shared" si="2"/>
        <v>12</v>
      </c>
      <c r="T11" s="7" t="str">
        <f t="shared" si="3"/>
        <v>High</v>
      </c>
    </row>
    <row r="12" spans="1:20" ht="29" x14ac:dyDescent="0.35">
      <c r="A12" s="2" t="s">
        <v>529</v>
      </c>
      <c r="B12" s="2" t="s">
        <v>405</v>
      </c>
      <c r="C12" s="2" t="s">
        <v>530</v>
      </c>
      <c r="D12" s="2" t="s">
        <v>531</v>
      </c>
      <c r="E12" s="2" t="s">
        <v>532</v>
      </c>
      <c r="F12" s="2" t="s">
        <v>533</v>
      </c>
      <c r="G12" s="2" t="s">
        <v>534</v>
      </c>
      <c r="H12" s="2">
        <v>4</v>
      </c>
      <c r="I12" s="2">
        <v>5</v>
      </c>
      <c r="J12" s="2">
        <f t="shared" si="0"/>
        <v>20</v>
      </c>
      <c r="K12" s="7" t="str">
        <f t="shared" si="1"/>
        <v>Critical</v>
      </c>
      <c r="L12" s="2" t="s">
        <v>404</v>
      </c>
      <c r="M12" s="2" t="s">
        <v>451</v>
      </c>
      <c r="N12" s="2" t="s">
        <v>535</v>
      </c>
      <c r="O12" s="2" t="s">
        <v>536</v>
      </c>
      <c r="P12" s="2" t="s">
        <v>454</v>
      </c>
      <c r="Q12" s="2">
        <v>3</v>
      </c>
      <c r="R12" s="2">
        <v>4</v>
      </c>
      <c r="S12" s="2">
        <f t="shared" si="2"/>
        <v>12</v>
      </c>
      <c r="T12" s="7" t="str">
        <f t="shared" si="3"/>
        <v>High</v>
      </c>
    </row>
    <row r="13" spans="1:20" ht="29" x14ac:dyDescent="0.35">
      <c r="A13" s="2" t="s">
        <v>537</v>
      </c>
      <c r="B13" s="2" t="s">
        <v>412</v>
      </c>
      <c r="C13" s="2" t="s">
        <v>538</v>
      </c>
      <c r="D13" s="2" t="s">
        <v>539</v>
      </c>
      <c r="E13" s="2" t="s">
        <v>540</v>
      </c>
      <c r="F13" s="2" t="s">
        <v>541</v>
      </c>
      <c r="G13" s="2" t="s">
        <v>542</v>
      </c>
      <c r="H13" s="2">
        <v>4</v>
      </c>
      <c r="I13" s="2">
        <v>5</v>
      </c>
      <c r="J13" s="2">
        <f t="shared" si="0"/>
        <v>20</v>
      </c>
      <c r="K13" s="7" t="str">
        <f t="shared" si="1"/>
        <v>Critical</v>
      </c>
      <c r="L13" s="2" t="s">
        <v>461</v>
      </c>
      <c r="M13" s="2" t="s">
        <v>451</v>
      </c>
      <c r="N13" s="2" t="s">
        <v>543</v>
      </c>
      <c r="O13" s="2" t="s">
        <v>544</v>
      </c>
      <c r="P13" s="2" t="s">
        <v>480</v>
      </c>
      <c r="Q13" s="2">
        <v>3</v>
      </c>
      <c r="R13" s="2">
        <v>4</v>
      </c>
      <c r="S13" s="2">
        <f t="shared" si="2"/>
        <v>12</v>
      </c>
      <c r="T13" s="7" t="str">
        <f t="shared" si="3"/>
        <v>High</v>
      </c>
    </row>
    <row r="14" spans="1:20" ht="29" x14ac:dyDescent="0.35">
      <c r="A14" s="2" t="s">
        <v>545</v>
      </c>
      <c r="B14" s="2" t="s">
        <v>423</v>
      </c>
      <c r="C14" s="2" t="s">
        <v>546</v>
      </c>
      <c r="D14" s="2" t="s">
        <v>547</v>
      </c>
      <c r="E14" s="2" t="s">
        <v>548</v>
      </c>
      <c r="F14" s="2" t="s">
        <v>549</v>
      </c>
      <c r="G14" s="2" t="s">
        <v>550</v>
      </c>
      <c r="H14" s="2">
        <v>4</v>
      </c>
      <c r="I14" s="2">
        <v>5</v>
      </c>
      <c r="J14" s="2">
        <f t="shared" si="0"/>
        <v>20</v>
      </c>
      <c r="K14" s="7" t="str">
        <f t="shared" si="1"/>
        <v>Critical</v>
      </c>
      <c r="L14" s="2" t="s">
        <v>404</v>
      </c>
      <c r="M14" s="2" t="s">
        <v>451</v>
      </c>
      <c r="N14" s="2" t="s">
        <v>551</v>
      </c>
      <c r="O14" s="2" t="s">
        <v>552</v>
      </c>
      <c r="P14" s="2" t="s">
        <v>454</v>
      </c>
      <c r="Q14" s="2">
        <v>3</v>
      </c>
      <c r="R14" s="2">
        <v>4</v>
      </c>
      <c r="S14" s="2">
        <f t="shared" si="2"/>
        <v>12</v>
      </c>
      <c r="T14" s="7" t="str">
        <f t="shared" si="3"/>
        <v>High</v>
      </c>
    </row>
  </sheetData>
  <conditionalFormatting sqref="K2:K14">
    <cfRule type="cellIs" dxfId="5" priority="1" operator="equal">
      <formula>"Critical"</formula>
    </cfRule>
    <cfRule type="cellIs" dxfId="4" priority="2" operator="equal">
      <formula>"High"</formula>
    </cfRule>
  </conditionalFormatting>
  <conditionalFormatting sqref="T2:T14">
    <cfRule type="cellIs" dxfId="3" priority="3" operator="equal">
      <formula>"Critical"</formula>
    </cfRule>
    <cfRule type="cellIs" dxfId="2" priority="4" operator="equal">
      <formula>"High"</formula>
    </cfRule>
  </conditionalFormatting>
  <dataValidations count="3">
    <dataValidation type="whole" sqref="Q2:R14 H2:I14" xr:uid="{00000000-0002-0000-0400-000000000000}">
      <formula1>1</formula1>
      <formula2>5</formula2>
    </dataValidation>
    <dataValidation type="list" sqref="P2:P14" xr:uid="{00000000-0002-0000-0400-000004000000}">
      <formula1>"Open,In Progress,Accepted,Closed"</formula1>
    </dataValidation>
    <dataValidation type="list" sqref="M2:M14" xr:uid="{00000000-0002-0000-0400-000005000000}">
      <formula1>"Mitigate,Accept,Transfer,Avoid"</formula1>
    </dataValidation>
  </dataValidations>
  <pageMargins left="0.75" right="0.75" top="1" bottom="1" header="0.5" footer="0.5"/>
  <pageSetup fitToHeight="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M14"/>
  <sheetViews>
    <sheetView showGridLines="0" topLeftCell="F1" zoomScale="61" workbookViewId="0">
      <pane ySplit="1" topLeftCell="A2" activePane="bottomLeft" state="frozen"/>
      <selection pane="bottomLeft" activeCell="K24" sqref="K24"/>
    </sheetView>
  </sheetViews>
  <sheetFormatPr defaultRowHeight="14.5" x14ac:dyDescent="0.35"/>
  <cols>
    <col min="1" max="1" width="16.54296875" customWidth="1"/>
    <col min="2" max="2" width="15.453125" customWidth="1"/>
    <col min="3" max="3" width="19.36328125" customWidth="1"/>
    <col min="4" max="4" width="55" customWidth="1"/>
    <col min="5" max="5" width="70" customWidth="1"/>
    <col min="6" max="6" width="26" customWidth="1"/>
    <col min="7" max="7" width="15.6328125" customWidth="1"/>
    <col min="8" max="8" width="16.54296875" style="13" customWidth="1"/>
    <col min="9" max="9" width="16.54296875" customWidth="1"/>
    <col min="10" max="10" width="16" customWidth="1"/>
    <col min="11" max="11" width="26.36328125" style="8" customWidth="1"/>
    <col min="12" max="12" width="45.26953125" customWidth="1"/>
    <col min="13" max="13" width="32.90625" customWidth="1"/>
  </cols>
  <sheetData>
    <row r="1" spans="1:13" ht="32" customHeight="1" x14ac:dyDescent="0.35">
      <c r="A1" s="3" t="s">
        <v>553</v>
      </c>
      <c r="B1" s="3" t="s">
        <v>427</v>
      </c>
      <c r="C1" s="3" t="s">
        <v>259</v>
      </c>
      <c r="D1" s="3" t="s">
        <v>554</v>
      </c>
      <c r="E1" s="3" t="s">
        <v>555</v>
      </c>
      <c r="F1" s="3" t="s">
        <v>556</v>
      </c>
      <c r="G1" s="3" t="s">
        <v>268</v>
      </c>
      <c r="H1" s="12" t="s">
        <v>557</v>
      </c>
      <c r="I1" s="3" t="s">
        <v>440</v>
      </c>
      <c r="J1" s="3" t="s">
        <v>261</v>
      </c>
      <c r="K1" s="3" t="s">
        <v>558</v>
      </c>
      <c r="L1" s="3" t="s">
        <v>52</v>
      </c>
      <c r="M1" s="3" t="s">
        <v>559</v>
      </c>
    </row>
    <row r="2" spans="1:13" x14ac:dyDescent="0.35">
      <c r="A2" s="2" t="s">
        <v>560</v>
      </c>
      <c r="B2" s="2" t="s">
        <v>445</v>
      </c>
      <c r="C2" s="2" t="s">
        <v>282</v>
      </c>
      <c r="D2" s="2" t="s">
        <v>561</v>
      </c>
      <c r="E2" s="2" t="s">
        <v>562</v>
      </c>
      <c r="F2" s="2" t="s">
        <v>404</v>
      </c>
      <c r="G2" s="2" t="s">
        <v>289</v>
      </c>
      <c r="H2" s="11">
        <v>46213</v>
      </c>
      <c r="I2" s="2" t="s">
        <v>453</v>
      </c>
      <c r="J2" s="2" t="s">
        <v>454</v>
      </c>
      <c r="K2" s="7">
        <v>0</v>
      </c>
      <c r="L2" s="2" t="s">
        <v>563</v>
      </c>
      <c r="M2" s="2"/>
    </row>
    <row r="3" spans="1:13" x14ac:dyDescent="0.35">
      <c r="A3" s="2" t="s">
        <v>564</v>
      </c>
      <c r="B3" s="2" t="s">
        <v>455</v>
      </c>
      <c r="C3" s="2" t="s">
        <v>290</v>
      </c>
      <c r="D3" s="2" t="s">
        <v>565</v>
      </c>
      <c r="E3" s="2" t="s">
        <v>566</v>
      </c>
      <c r="F3" s="2" t="s">
        <v>461</v>
      </c>
      <c r="G3" s="2" t="s">
        <v>318</v>
      </c>
      <c r="H3" s="11">
        <v>46213</v>
      </c>
      <c r="I3" s="2" t="s">
        <v>463</v>
      </c>
      <c r="J3" s="2" t="s">
        <v>454</v>
      </c>
      <c r="K3" s="7">
        <v>0</v>
      </c>
      <c r="L3" s="2" t="s">
        <v>567</v>
      </c>
      <c r="M3" s="2"/>
    </row>
    <row r="4" spans="1:13" x14ac:dyDescent="0.35">
      <c r="A4" s="2" t="s">
        <v>568</v>
      </c>
      <c r="B4" s="2" t="s">
        <v>464</v>
      </c>
      <c r="C4" s="2" t="s">
        <v>297</v>
      </c>
      <c r="D4" s="2" t="s">
        <v>569</v>
      </c>
      <c r="E4" s="2" t="s">
        <v>570</v>
      </c>
      <c r="F4" s="2" t="s">
        <v>274</v>
      </c>
      <c r="G4" s="2" t="s">
        <v>289</v>
      </c>
      <c r="H4" s="11">
        <v>46213</v>
      </c>
      <c r="I4" s="2" t="s">
        <v>471</v>
      </c>
      <c r="J4" s="2" t="s">
        <v>454</v>
      </c>
      <c r="K4" s="7">
        <v>0</v>
      </c>
      <c r="L4" s="2" t="s">
        <v>571</v>
      </c>
      <c r="M4" s="2"/>
    </row>
    <row r="5" spans="1:13" x14ac:dyDescent="0.35">
      <c r="A5" s="2" t="s">
        <v>572</v>
      </c>
      <c r="B5" s="2" t="s">
        <v>472</v>
      </c>
      <c r="C5" s="2" t="s">
        <v>314</v>
      </c>
      <c r="D5" s="2" t="s">
        <v>573</v>
      </c>
      <c r="E5" s="2" t="s">
        <v>574</v>
      </c>
      <c r="F5" s="2" t="s">
        <v>404</v>
      </c>
      <c r="G5" s="2" t="s">
        <v>318</v>
      </c>
      <c r="H5" s="11">
        <v>46213</v>
      </c>
      <c r="I5" s="2" t="s">
        <v>479</v>
      </c>
      <c r="J5" s="2" t="s">
        <v>480</v>
      </c>
      <c r="K5" s="7">
        <v>50</v>
      </c>
      <c r="L5" s="2" t="s">
        <v>575</v>
      </c>
      <c r="M5" s="2"/>
    </row>
    <row r="6" spans="1:13" x14ac:dyDescent="0.35">
      <c r="A6" s="2" t="s">
        <v>576</v>
      </c>
      <c r="B6" s="2" t="s">
        <v>481</v>
      </c>
      <c r="C6" s="2" t="s">
        <v>327</v>
      </c>
      <c r="D6" s="2" t="s">
        <v>577</v>
      </c>
      <c r="E6" s="2" t="s">
        <v>578</v>
      </c>
      <c r="F6" s="2" t="s">
        <v>461</v>
      </c>
      <c r="G6" s="2" t="s">
        <v>289</v>
      </c>
      <c r="H6" s="11">
        <v>46213</v>
      </c>
      <c r="I6" s="2" t="s">
        <v>488</v>
      </c>
      <c r="J6" s="2" t="s">
        <v>454</v>
      </c>
      <c r="K6" s="7">
        <v>0</v>
      </c>
      <c r="L6" s="2" t="s">
        <v>579</v>
      </c>
      <c r="M6" s="2"/>
    </row>
    <row r="7" spans="1:13" x14ac:dyDescent="0.35">
      <c r="A7" s="2" t="s">
        <v>580</v>
      </c>
      <c r="B7" s="2" t="s">
        <v>489</v>
      </c>
      <c r="C7" s="2" t="s">
        <v>334</v>
      </c>
      <c r="D7" s="2" t="s">
        <v>581</v>
      </c>
      <c r="E7" s="2" t="s">
        <v>582</v>
      </c>
      <c r="F7" s="2" t="s">
        <v>495</v>
      </c>
      <c r="G7" s="2" t="s">
        <v>289</v>
      </c>
      <c r="H7" s="11">
        <v>46213</v>
      </c>
      <c r="I7" s="2" t="s">
        <v>497</v>
      </c>
      <c r="J7" s="2" t="s">
        <v>480</v>
      </c>
      <c r="K7" s="7">
        <v>40</v>
      </c>
      <c r="L7" s="2" t="s">
        <v>583</v>
      </c>
      <c r="M7" s="2"/>
    </row>
    <row r="8" spans="1:13" x14ac:dyDescent="0.35">
      <c r="A8" s="2" t="s">
        <v>584</v>
      </c>
      <c r="B8" s="2" t="s">
        <v>498</v>
      </c>
      <c r="C8" s="2" t="s">
        <v>352</v>
      </c>
      <c r="D8" s="2" t="s">
        <v>585</v>
      </c>
      <c r="E8" s="2" t="s">
        <v>586</v>
      </c>
      <c r="F8" s="2" t="s">
        <v>504</v>
      </c>
      <c r="G8" s="2" t="s">
        <v>318</v>
      </c>
      <c r="H8" s="11">
        <v>46213</v>
      </c>
      <c r="I8" s="2" t="s">
        <v>453</v>
      </c>
      <c r="J8" s="2" t="s">
        <v>454</v>
      </c>
      <c r="K8" s="7">
        <v>0</v>
      </c>
      <c r="L8" s="2" t="s">
        <v>587</v>
      </c>
      <c r="M8" s="2"/>
    </row>
    <row r="9" spans="1:13" x14ac:dyDescent="0.35">
      <c r="A9" s="2" t="s">
        <v>588</v>
      </c>
      <c r="B9" s="2" t="s">
        <v>506</v>
      </c>
      <c r="C9" s="2" t="s">
        <v>356</v>
      </c>
      <c r="D9" s="2" t="s">
        <v>589</v>
      </c>
      <c r="E9" s="2" t="s">
        <v>590</v>
      </c>
      <c r="F9" s="2" t="s">
        <v>512</v>
      </c>
      <c r="G9" s="2" t="s">
        <v>318</v>
      </c>
      <c r="H9" s="11">
        <v>46213</v>
      </c>
      <c r="I9" s="2" t="s">
        <v>514</v>
      </c>
      <c r="J9" s="2" t="s">
        <v>454</v>
      </c>
      <c r="K9" s="7">
        <v>0</v>
      </c>
      <c r="L9" s="2" t="s">
        <v>591</v>
      </c>
      <c r="M9" s="2"/>
    </row>
    <row r="10" spans="1:13" x14ac:dyDescent="0.35">
      <c r="A10" s="2" t="s">
        <v>592</v>
      </c>
      <c r="B10" s="2" t="s">
        <v>515</v>
      </c>
      <c r="C10" s="2" t="s">
        <v>378</v>
      </c>
      <c r="D10" s="2" t="s">
        <v>593</v>
      </c>
      <c r="E10" s="2" t="s">
        <v>380</v>
      </c>
      <c r="F10" s="2" t="s">
        <v>461</v>
      </c>
      <c r="G10" s="2" t="s">
        <v>318</v>
      </c>
      <c r="H10" s="11">
        <v>46213</v>
      </c>
      <c r="I10" s="2" t="s">
        <v>453</v>
      </c>
      <c r="J10" s="2" t="s">
        <v>454</v>
      </c>
      <c r="K10" s="7">
        <v>0</v>
      </c>
      <c r="L10" s="2" t="s">
        <v>594</v>
      </c>
      <c r="M10" s="2"/>
    </row>
    <row r="11" spans="1:13" x14ac:dyDescent="0.35">
      <c r="A11" s="2" t="s">
        <v>595</v>
      </c>
      <c r="B11" s="2" t="s">
        <v>522</v>
      </c>
      <c r="C11" s="2" t="s">
        <v>400</v>
      </c>
      <c r="D11" s="2" t="s">
        <v>596</v>
      </c>
      <c r="E11" s="2" t="s">
        <v>597</v>
      </c>
      <c r="F11" s="2" t="s">
        <v>404</v>
      </c>
      <c r="G11" s="2" t="s">
        <v>318</v>
      </c>
      <c r="H11" s="11">
        <v>46213</v>
      </c>
      <c r="I11" s="2" t="s">
        <v>479</v>
      </c>
      <c r="J11" s="2" t="s">
        <v>480</v>
      </c>
      <c r="K11" s="7">
        <v>50</v>
      </c>
      <c r="L11" s="2" t="s">
        <v>598</v>
      </c>
      <c r="M11" s="2"/>
    </row>
    <row r="12" spans="1:13" ht="29" x14ac:dyDescent="0.35">
      <c r="A12" s="2" t="s">
        <v>599</v>
      </c>
      <c r="B12" s="2" t="s">
        <v>529</v>
      </c>
      <c r="C12" s="2" t="s">
        <v>405</v>
      </c>
      <c r="D12" s="2" t="s">
        <v>600</v>
      </c>
      <c r="E12" s="2" t="s">
        <v>601</v>
      </c>
      <c r="F12" s="2" t="s">
        <v>404</v>
      </c>
      <c r="G12" s="2" t="s">
        <v>318</v>
      </c>
      <c r="H12" s="11">
        <v>46213</v>
      </c>
      <c r="I12" s="2" t="s">
        <v>536</v>
      </c>
      <c r="J12" s="2" t="s">
        <v>454</v>
      </c>
      <c r="K12" s="7">
        <v>0</v>
      </c>
      <c r="L12" s="2" t="s">
        <v>602</v>
      </c>
      <c r="M12" s="2"/>
    </row>
    <row r="13" spans="1:13" ht="29" x14ac:dyDescent="0.35">
      <c r="A13" s="2" t="s">
        <v>603</v>
      </c>
      <c r="B13" s="2" t="s">
        <v>537</v>
      </c>
      <c r="C13" s="2" t="s">
        <v>412</v>
      </c>
      <c r="D13" s="2" t="s">
        <v>604</v>
      </c>
      <c r="E13" s="2" t="s">
        <v>605</v>
      </c>
      <c r="F13" s="2" t="s">
        <v>461</v>
      </c>
      <c r="G13" s="2" t="s">
        <v>363</v>
      </c>
      <c r="H13" s="11">
        <v>46213</v>
      </c>
      <c r="I13" s="2" t="s">
        <v>544</v>
      </c>
      <c r="J13" s="2" t="s">
        <v>480</v>
      </c>
      <c r="K13" s="7">
        <v>60</v>
      </c>
      <c r="L13" s="2" t="s">
        <v>606</v>
      </c>
      <c r="M13" s="2"/>
    </row>
    <row r="14" spans="1:13" x14ac:dyDescent="0.35">
      <c r="A14" s="2" t="s">
        <v>607</v>
      </c>
      <c r="B14" s="2" t="s">
        <v>545</v>
      </c>
      <c r="C14" s="2" t="s">
        <v>423</v>
      </c>
      <c r="D14" s="2" t="s">
        <v>608</v>
      </c>
      <c r="E14" s="2" t="s">
        <v>609</v>
      </c>
      <c r="F14" s="2" t="s">
        <v>404</v>
      </c>
      <c r="G14" s="2" t="s">
        <v>363</v>
      </c>
      <c r="H14" s="11">
        <v>46213</v>
      </c>
      <c r="I14" s="2" t="s">
        <v>552</v>
      </c>
      <c r="J14" s="2" t="s">
        <v>454</v>
      </c>
      <c r="K14" s="7">
        <v>0</v>
      </c>
      <c r="L14" s="2" t="s">
        <v>610</v>
      </c>
      <c r="M14" s="2"/>
    </row>
  </sheetData>
  <conditionalFormatting sqref="K2:K14">
    <cfRule type="cellIs" dxfId="1" priority="1" operator="greaterThanOrEqual">
      <formula>80</formula>
    </cfRule>
  </conditionalFormatting>
  <dataValidations count="2">
    <dataValidation type="list" sqref="J2:J14" xr:uid="{00000000-0002-0000-0500-000000000000}">
      <formula1>"Open,In Progress,Blocked,Completed,Accepted"</formula1>
    </dataValidation>
    <dataValidation type="whole" sqref="K2:K14" xr:uid="{00000000-0002-0000-0500-000001000000}">
      <formula1>0</formula1>
      <formula2>100</formula2>
    </dataValidation>
  </dataValidations>
  <pageMargins left="0.75" right="0.75" top="1" bottom="1" header="0.5" footer="0.5"/>
  <pageSetup fitToHeight="0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H21"/>
  <sheetViews>
    <sheetView showGridLines="0" topLeftCell="E1" zoomScale="78" workbookViewId="0">
      <pane ySplit="1" topLeftCell="A2" activePane="bottomLeft" state="frozen"/>
      <selection pane="bottomLeft" activeCell="I11" sqref="I11"/>
    </sheetView>
  </sheetViews>
  <sheetFormatPr defaultRowHeight="14.5" x14ac:dyDescent="0.35"/>
  <cols>
    <col min="1" max="1" width="21.54296875" customWidth="1"/>
    <col min="2" max="2" width="27.08984375" customWidth="1"/>
    <col min="3" max="3" width="24" customWidth="1"/>
    <col min="4" max="4" width="24.6328125" customWidth="1"/>
    <col min="5" max="5" width="65" customWidth="1"/>
    <col min="6" max="6" width="31.1796875" customWidth="1"/>
    <col min="7" max="7" width="24.1796875" customWidth="1"/>
    <col min="8" max="8" width="43.08984375" customWidth="1"/>
  </cols>
  <sheetData>
    <row r="1" spans="1:8" ht="32" customHeight="1" x14ac:dyDescent="0.35">
      <c r="A1" s="3" t="s">
        <v>611</v>
      </c>
      <c r="B1" s="3" t="s">
        <v>612</v>
      </c>
      <c r="C1" s="3" t="s">
        <v>613</v>
      </c>
      <c r="D1" s="3" t="s">
        <v>614</v>
      </c>
      <c r="E1" s="3" t="s">
        <v>615</v>
      </c>
      <c r="F1" s="3" t="s">
        <v>556</v>
      </c>
      <c r="G1" s="3" t="s">
        <v>616</v>
      </c>
      <c r="H1" s="3" t="s">
        <v>617</v>
      </c>
    </row>
    <row r="2" spans="1:8" x14ac:dyDescent="0.35">
      <c r="A2" s="2" t="s">
        <v>618</v>
      </c>
      <c r="B2" s="2" t="s">
        <v>619</v>
      </c>
      <c r="C2" s="2" t="s">
        <v>54</v>
      </c>
      <c r="D2" s="2" t="s">
        <v>269</v>
      </c>
      <c r="E2" s="2" t="s">
        <v>620</v>
      </c>
      <c r="F2" s="2" t="s">
        <v>274</v>
      </c>
      <c r="G2" s="2" t="s">
        <v>621</v>
      </c>
      <c r="H2" s="2" t="s">
        <v>622</v>
      </c>
    </row>
    <row r="3" spans="1:8" x14ac:dyDescent="0.35">
      <c r="A3" s="2" t="s">
        <v>623</v>
      </c>
      <c r="B3" s="2" t="s">
        <v>624</v>
      </c>
      <c r="C3" s="2" t="s">
        <v>61</v>
      </c>
      <c r="D3" s="2" t="s">
        <v>276</v>
      </c>
      <c r="E3" s="2" t="s">
        <v>625</v>
      </c>
      <c r="F3" s="2" t="s">
        <v>274</v>
      </c>
      <c r="G3" s="2" t="s">
        <v>621</v>
      </c>
      <c r="H3" s="2" t="s">
        <v>622</v>
      </c>
    </row>
    <row r="4" spans="1:8" x14ac:dyDescent="0.35">
      <c r="A4" s="2" t="s">
        <v>626</v>
      </c>
      <c r="B4" s="2" t="s">
        <v>627</v>
      </c>
      <c r="C4" s="2" t="s">
        <v>66</v>
      </c>
      <c r="D4" s="2" t="s">
        <v>279</v>
      </c>
      <c r="E4" s="2" t="s">
        <v>628</v>
      </c>
      <c r="F4" s="2" t="s">
        <v>629</v>
      </c>
      <c r="G4" s="2" t="s">
        <v>621</v>
      </c>
      <c r="H4" s="2" t="s">
        <v>622</v>
      </c>
    </row>
    <row r="5" spans="1:8" x14ac:dyDescent="0.35">
      <c r="A5" s="2" t="s">
        <v>630</v>
      </c>
      <c r="B5" s="2" t="s">
        <v>631</v>
      </c>
      <c r="C5" s="2" t="s">
        <v>71</v>
      </c>
      <c r="D5" s="2" t="s">
        <v>282</v>
      </c>
      <c r="E5" s="2" t="s">
        <v>632</v>
      </c>
      <c r="F5" s="2" t="s">
        <v>404</v>
      </c>
      <c r="G5" s="2" t="s">
        <v>285</v>
      </c>
      <c r="H5" s="2" t="s">
        <v>633</v>
      </c>
    </row>
    <row r="6" spans="1:8" x14ac:dyDescent="0.35">
      <c r="A6" s="2" t="s">
        <v>634</v>
      </c>
      <c r="B6" s="2" t="s">
        <v>635</v>
      </c>
      <c r="C6" s="2" t="s">
        <v>76</v>
      </c>
      <c r="D6" s="2" t="s">
        <v>290</v>
      </c>
      <c r="E6" s="2" t="s">
        <v>636</v>
      </c>
      <c r="F6" s="2" t="s">
        <v>461</v>
      </c>
      <c r="G6" s="2" t="s">
        <v>285</v>
      </c>
      <c r="H6" s="2" t="s">
        <v>637</v>
      </c>
    </row>
    <row r="7" spans="1:8" x14ac:dyDescent="0.35">
      <c r="A7" s="2" t="s">
        <v>638</v>
      </c>
      <c r="B7" s="2" t="s">
        <v>639</v>
      </c>
      <c r="C7" s="2" t="s">
        <v>86</v>
      </c>
      <c r="D7" s="2" t="s">
        <v>297</v>
      </c>
      <c r="E7" s="2" t="s">
        <v>640</v>
      </c>
      <c r="F7" s="2" t="s">
        <v>274</v>
      </c>
      <c r="G7" s="2" t="s">
        <v>285</v>
      </c>
      <c r="H7" s="2" t="s">
        <v>641</v>
      </c>
    </row>
    <row r="8" spans="1:8" x14ac:dyDescent="0.35">
      <c r="A8" s="2" t="s">
        <v>642</v>
      </c>
      <c r="B8" s="2" t="s">
        <v>643</v>
      </c>
      <c r="C8" s="2" t="s">
        <v>111</v>
      </c>
      <c r="D8" s="2" t="s">
        <v>314</v>
      </c>
      <c r="E8" s="2" t="s">
        <v>644</v>
      </c>
      <c r="F8" s="2" t="s">
        <v>404</v>
      </c>
      <c r="G8" s="2" t="s">
        <v>285</v>
      </c>
      <c r="H8" s="2" t="s">
        <v>645</v>
      </c>
    </row>
    <row r="9" spans="1:8" x14ac:dyDescent="0.35">
      <c r="A9" s="2" t="s">
        <v>646</v>
      </c>
      <c r="B9" s="2" t="s">
        <v>647</v>
      </c>
      <c r="C9" s="2" t="s">
        <v>116</v>
      </c>
      <c r="D9" s="2" t="s">
        <v>319</v>
      </c>
      <c r="E9" s="2" t="s">
        <v>648</v>
      </c>
      <c r="F9" s="2" t="s">
        <v>649</v>
      </c>
      <c r="G9" s="2" t="s">
        <v>285</v>
      </c>
      <c r="H9" s="2" t="s">
        <v>650</v>
      </c>
    </row>
    <row r="10" spans="1:8" x14ac:dyDescent="0.35">
      <c r="A10" s="2" t="s">
        <v>651</v>
      </c>
      <c r="B10" s="2" t="s">
        <v>652</v>
      </c>
      <c r="C10" s="2" t="s">
        <v>126</v>
      </c>
      <c r="D10" s="2" t="s">
        <v>327</v>
      </c>
      <c r="E10" s="2" t="s">
        <v>653</v>
      </c>
      <c r="F10" s="2" t="s">
        <v>461</v>
      </c>
      <c r="G10" s="2" t="s">
        <v>285</v>
      </c>
      <c r="H10" s="2" t="s">
        <v>654</v>
      </c>
    </row>
    <row r="11" spans="1:8" x14ac:dyDescent="0.35">
      <c r="A11" s="2" t="s">
        <v>655</v>
      </c>
      <c r="B11" s="2" t="s">
        <v>656</v>
      </c>
      <c r="C11" s="2" t="s">
        <v>131</v>
      </c>
      <c r="D11" s="2" t="s">
        <v>331</v>
      </c>
      <c r="E11" s="2" t="s">
        <v>657</v>
      </c>
      <c r="F11" s="2" t="s">
        <v>404</v>
      </c>
      <c r="G11" s="2" t="s">
        <v>621</v>
      </c>
      <c r="H11" s="2" t="s">
        <v>622</v>
      </c>
    </row>
    <row r="12" spans="1:8" x14ac:dyDescent="0.35">
      <c r="A12" s="2" t="s">
        <v>658</v>
      </c>
      <c r="B12" s="2" t="s">
        <v>659</v>
      </c>
      <c r="C12" s="2" t="s">
        <v>161</v>
      </c>
      <c r="D12" s="2" t="s">
        <v>352</v>
      </c>
      <c r="E12" s="2" t="s">
        <v>660</v>
      </c>
      <c r="F12" s="2" t="s">
        <v>504</v>
      </c>
      <c r="G12" s="2" t="s">
        <v>285</v>
      </c>
      <c r="H12" s="2" t="s">
        <v>661</v>
      </c>
    </row>
    <row r="13" spans="1:8" x14ac:dyDescent="0.35">
      <c r="A13" s="2" t="s">
        <v>662</v>
      </c>
      <c r="B13" s="2" t="s">
        <v>663</v>
      </c>
      <c r="C13" s="2" t="s">
        <v>166</v>
      </c>
      <c r="D13" s="2" t="s">
        <v>356</v>
      </c>
      <c r="E13" s="2" t="s">
        <v>664</v>
      </c>
      <c r="F13" s="2" t="s">
        <v>629</v>
      </c>
      <c r="G13" s="2" t="s">
        <v>665</v>
      </c>
      <c r="H13" s="2" t="s">
        <v>666</v>
      </c>
    </row>
    <row r="14" spans="1:8" x14ac:dyDescent="0.35">
      <c r="A14" s="2" t="s">
        <v>667</v>
      </c>
      <c r="B14" s="2" t="s">
        <v>668</v>
      </c>
      <c r="C14" s="2" t="s">
        <v>182</v>
      </c>
      <c r="D14" s="2" t="s">
        <v>372</v>
      </c>
      <c r="E14" s="2" t="s">
        <v>669</v>
      </c>
      <c r="F14" s="2" t="s">
        <v>670</v>
      </c>
      <c r="G14" s="2" t="s">
        <v>621</v>
      </c>
      <c r="H14" s="2" t="s">
        <v>671</v>
      </c>
    </row>
    <row r="15" spans="1:8" x14ac:dyDescent="0.35">
      <c r="A15" s="2" t="s">
        <v>672</v>
      </c>
      <c r="B15" s="2" t="s">
        <v>673</v>
      </c>
      <c r="C15" s="2" t="s">
        <v>203</v>
      </c>
      <c r="D15" s="2" t="s">
        <v>386</v>
      </c>
      <c r="E15" s="2" t="s">
        <v>674</v>
      </c>
      <c r="F15" s="2" t="s">
        <v>675</v>
      </c>
      <c r="G15" s="2" t="s">
        <v>621</v>
      </c>
      <c r="H15" s="2" t="s">
        <v>676</v>
      </c>
    </row>
    <row r="16" spans="1:8" x14ac:dyDescent="0.35">
      <c r="A16" s="2" t="s">
        <v>677</v>
      </c>
      <c r="B16" s="2" t="s">
        <v>678</v>
      </c>
      <c r="C16" s="2" t="s">
        <v>223</v>
      </c>
      <c r="D16" s="2" t="s">
        <v>400</v>
      </c>
      <c r="E16" s="2" t="s">
        <v>679</v>
      </c>
      <c r="F16" s="2" t="s">
        <v>404</v>
      </c>
      <c r="G16" s="2" t="s">
        <v>285</v>
      </c>
      <c r="H16" s="2" t="s">
        <v>680</v>
      </c>
    </row>
    <row r="17" spans="1:8" x14ac:dyDescent="0.35">
      <c r="A17" s="2" t="s">
        <v>681</v>
      </c>
      <c r="B17" s="2" t="s">
        <v>682</v>
      </c>
      <c r="C17" s="2" t="s">
        <v>229</v>
      </c>
      <c r="D17" s="2" t="s">
        <v>405</v>
      </c>
      <c r="E17" s="2" t="s">
        <v>683</v>
      </c>
      <c r="F17" s="2" t="s">
        <v>404</v>
      </c>
      <c r="G17" s="2" t="s">
        <v>285</v>
      </c>
      <c r="H17" s="2" t="s">
        <v>684</v>
      </c>
    </row>
    <row r="18" spans="1:8" x14ac:dyDescent="0.35">
      <c r="A18" s="2" t="s">
        <v>685</v>
      </c>
      <c r="B18" s="2" t="s">
        <v>686</v>
      </c>
      <c r="C18" s="2" t="s">
        <v>239</v>
      </c>
      <c r="D18" s="2" t="s">
        <v>412</v>
      </c>
      <c r="E18" s="2" t="s">
        <v>687</v>
      </c>
      <c r="F18" s="2" t="s">
        <v>461</v>
      </c>
      <c r="G18" s="2" t="s">
        <v>285</v>
      </c>
      <c r="H18" s="2" t="s">
        <v>688</v>
      </c>
    </row>
    <row r="19" spans="1:8" x14ac:dyDescent="0.35">
      <c r="A19" s="2" t="s">
        <v>689</v>
      </c>
      <c r="B19" s="2" t="s">
        <v>690</v>
      </c>
      <c r="C19" s="2" t="s">
        <v>244</v>
      </c>
      <c r="D19" s="2" t="s">
        <v>416</v>
      </c>
      <c r="E19" s="2" t="s">
        <v>691</v>
      </c>
      <c r="F19" s="2" t="s">
        <v>461</v>
      </c>
      <c r="G19" s="2" t="s">
        <v>621</v>
      </c>
      <c r="H19" s="2" t="s">
        <v>622</v>
      </c>
    </row>
    <row r="20" spans="1:8" x14ac:dyDescent="0.35">
      <c r="A20" s="2" t="s">
        <v>692</v>
      </c>
      <c r="B20" s="2" t="s">
        <v>693</v>
      </c>
      <c r="C20" s="2" t="s">
        <v>249</v>
      </c>
      <c r="D20" s="2" t="s">
        <v>419</v>
      </c>
      <c r="E20" s="2" t="s">
        <v>694</v>
      </c>
      <c r="F20" s="2" t="s">
        <v>404</v>
      </c>
      <c r="G20" s="2" t="s">
        <v>285</v>
      </c>
      <c r="H20" s="2" t="s">
        <v>695</v>
      </c>
    </row>
    <row r="21" spans="1:8" x14ac:dyDescent="0.35">
      <c r="A21" s="2" t="s">
        <v>696</v>
      </c>
      <c r="B21" s="2" t="s">
        <v>697</v>
      </c>
      <c r="C21" s="2" t="s">
        <v>254</v>
      </c>
      <c r="D21" s="2" t="s">
        <v>423</v>
      </c>
      <c r="E21" s="2" t="s">
        <v>698</v>
      </c>
      <c r="F21" s="2" t="s">
        <v>404</v>
      </c>
      <c r="G21" s="2" t="s">
        <v>665</v>
      </c>
      <c r="H21" s="2" t="s">
        <v>699</v>
      </c>
    </row>
  </sheetData>
  <pageMargins left="0.75" right="0.75" top="1" bottom="1" header="0.5" footer="0.5"/>
  <pageSetup fitToHeight="0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M6"/>
  <sheetViews>
    <sheetView showGridLines="0" topLeftCell="J1" zoomScale="88" workbookViewId="0">
      <pane ySplit="1" topLeftCell="A2" activePane="bottomLeft" state="frozen"/>
      <selection pane="bottomLeft"/>
    </sheetView>
  </sheetViews>
  <sheetFormatPr defaultRowHeight="14.5" x14ac:dyDescent="0.35"/>
  <cols>
    <col min="1" max="13" width="22" customWidth="1"/>
  </cols>
  <sheetData>
    <row r="1" spans="1:13" x14ac:dyDescent="0.35">
      <c r="A1" s="5" t="s">
        <v>700</v>
      </c>
      <c r="B1" s="5" t="s">
        <v>263</v>
      </c>
      <c r="C1" s="5" t="s">
        <v>268</v>
      </c>
      <c r="D1" s="5" t="s">
        <v>701</v>
      </c>
      <c r="E1" s="5" t="s">
        <v>702</v>
      </c>
      <c r="F1" s="5" t="s">
        <v>703</v>
      </c>
      <c r="G1" s="5" t="s">
        <v>433</v>
      </c>
      <c r="H1" s="5" t="s">
        <v>434</v>
      </c>
      <c r="I1" s="5" t="s">
        <v>704</v>
      </c>
      <c r="K1" s="5" t="s">
        <v>705</v>
      </c>
      <c r="L1" s="5" t="s">
        <v>706</v>
      </c>
      <c r="M1" s="5" t="s">
        <v>707</v>
      </c>
    </row>
    <row r="2" spans="1:13" x14ac:dyDescent="0.35">
      <c r="A2" s="6" t="s">
        <v>270</v>
      </c>
      <c r="B2" s="6" t="s">
        <v>60</v>
      </c>
      <c r="C2" s="6" t="s">
        <v>275</v>
      </c>
      <c r="D2" s="6" t="s">
        <v>451</v>
      </c>
      <c r="E2" s="6" t="s">
        <v>454</v>
      </c>
      <c r="F2" s="6" t="s">
        <v>454</v>
      </c>
      <c r="G2" s="6">
        <v>1</v>
      </c>
      <c r="H2" s="6">
        <v>1</v>
      </c>
      <c r="I2" s="6" t="s">
        <v>275</v>
      </c>
      <c r="K2" t="s">
        <v>708</v>
      </c>
      <c r="L2" t="s">
        <v>275</v>
      </c>
      <c r="M2" t="s">
        <v>709</v>
      </c>
    </row>
    <row r="3" spans="1:13" x14ac:dyDescent="0.35">
      <c r="A3" s="6" t="s">
        <v>283</v>
      </c>
      <c r="B3" s="6" t="s">
        <v>285</v>
      </c>
      <c r="C3" s="6" t="s">
        <v>289</v>
      </c>
      <c r="D3" s="6" t="s">
        <v>710</v>
      </c>
      <c r="E3" s="6" t="s">
        <v>480</v>
      </c>
      <c r="F3" s="6" t="s">
        <v>480</v>
      </c>
      <c r="G3" s="6">
        <v>2</v>
      </c>
      <c r="H3" s="6">
        <v>2</v>
      </c>
      <c r="I3" s="6" t="s">
        <v>289</v>
      </c>
      <c r="K3" t="s">
        <v>711</v>
      </c>
      <c r="L3" t="s">
        <v>289</v>
      </c>
      <c r="M3" t="s">
        <v>712</v>
      </c>
    </row>
    <row r="4" spans="1:13" x14ac:dyDescent="0.35">
      <c r="A4" s="6" t="s">
        <v>357</v>
      </c>
      <c r="B4" s="6" t="s">
        <v>359</v>
      </c>
      <c r="C4" s="6" t="s">
        <v>318</v>
      </c>
      <c r="D4" s="6" t="s">
        <v>713</v>
      </c>
      <c r="E4" s="6" t="s">
        <v>714</v>
      </c>
      <c r="F4" s="6" t="s">
        <v>715</v>
      </c>
      <c r="G4" s="6">
        <v>3</v>
      </c>
      <c r="H4" s="6">
        <v>3</v>
      </c>
      <c r="I4" s="6" t="s">
        <v>318</v>
      </c>
      <c r="K4" t="s">
        <v>716</v>
      </c>
      <c r="L4" t="s">
        <v>318</v>
      </c>
      <c r="M4" t="s">
        <v>717</v>
      </c>
    </row>
    <row r="5" spans="1:13" x14ac:dyDescent="0.35">
      <c r="A5" s="6" t="s">
        <v>718</v>
      </c>
      <c r="C5" s="6" t="s">
        <v>363</v>
      </c>
      <c r="D5" s="6" t="s">
        <v>719</v>
      </c>
      <c r="E5" s="6" t="s">
        <v>720</v>
      </c>
      <c r="F5" s="6" t="s">
        <v>721</v>
      </c>
      <c r="G5" s="6">
        <v>4</v>
      </c>
      <c r="H5" s="6">
        <v>4</v>
      </c>
      <c r="I5" s="6" t="s">
        <v>363</v>
      </c>
      <c r="K5" t="s">
        <v>722</v>
      </c>
      <c r="L5" t="s">
        <v>363</v>
      </c>
      <c r="M5" t="s">
        <v>723</v>
      </c>
    </row>
    <row r="6" spans="1:13" x14ac:dyDescent="0.35">
      <c r="F6" s="6" t="s">
        <v>714</v>
      </c>
      <c r="G6" s="6">
        <v>5</v>
      </c>
      <c r="H6" s="6">
        <v>5</v>
      </c>
    </row>
  </sheetData>
  <pageMargins left="0.75" right="0.75" top="1" bottom="1" header="0.5" footer="0.5"/>
  <pageSetup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D14"/>
  <sheetViews>
    <sheetView showGridLines="0" zoomScale="9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4" customWidth="1"/>
    <col min="2" max="2" width="30" customWidth="1"/>
    <col min="3" max="3" width="70" customWidth="1"/>
    <col min="4" max="4" width="50" customWidth="1"/>
  </cols>
  <sheetData>
    <row r="1" spans="1:4" ht="32" customHeight="1" x14ac:dyDescent="0.35">
      <c r="A1" s="3" t="s">
        <v>724</v>
      </c>
      <c r="B1" s="3" t="s">
        <v>725</v>
      </c>
      <c r="C1" s="3" t="s">
        <v>726</v>
      </c>
      <c r="D1" s="3" t="s">
        <v>727</v>
      </c>
    </row>
    <row r="2" spans="1:4" x14ac:dyDescent="0.35">
      <c r="A2" s="2" t="s">
        <v>728</v>
      </c>
      <c r="B2" s="2" t="s">
        <v>47</v>
      </c>
      <c r="C2" s="2" t="s">
        <v>729</v>
      </c>
      <c r="D2" s="2" t="s">
        <v>730</v>
      </c>
    </row>
    <row r="3" spans="1:4" x14ac:dyDescent="0.35">
      <c r="A3" s="2" t="s">
        <v>728</v>
      </c>
      <c r="B3" s="2" t="s">
        <v>48</v>
      </c>
      <c r="C3" s="2" t="s">
        <v>731</v>
      </c>
      <c r="D3" s="2" t="s">
        <v>732</v>
      </c>
    </row>
    <row r="4" spans="1:4" x14ac:dyDescent="0.35">
      <c r="A4" s="2" t="s">
        <v>733</v>
      </c>
      <c r="B4" s="2" t="s">
        <v>259</v>
      </c>
      <c r="C4" s="2" t="s">
        <v>734</v>
      </c>
      <c r="D4" s="2" t="s">
        <v>735</v>
      </c>
    </row>
    <row r="5" spans="1:4" ht="29" x14ac:dyDescent="0.35">
      <c r="A5" s="2" t="s">
        <v>733</v>
      </c>
      <c r="B5" s="2" t="s">
        <v>261</v>
      </c>
      <c r="C5" s="2" t="s">
        <v>736</v>
      </c>
      <c r="D5" s="2" t="s">
        <v>737</v>
      </c>
    </row>
    <row r="6" spans="1:4" ht="29" x14ac:dyDescent="0.35">
      <c r="A6" s="2" t="s">
        <v>733</v>
      </c>
      <c r="B6" s="2" t="s">
        <v>262</v>
      </c>
      <c r="C6" s="2" t="s">
        <v>738</v>
      </c>
      <c r="D6" s="2" t="s">
        <v>739</v>
      </c>
    </row>
    <row r="7" spans="1:4" x14ac:dyDescent="0.35">
      <c r="A7" s="2" t="s">
        <v>733</v>
      </c>
      <c r="B7" s="2" t="s">
        <v>263</v>
      </c>
      <c r="C7" s="2" t="s">
        <v>740</v>
      </c>
      <c r="D7" s="2" t="s">
        <v>741</v>
      </c>
    </row>
    <row r="8" spans="1:4" x14ac:dyDescent="0.35">
      <c r="A8" s="2" t="s">
        <v>733</v>
      </c>
      <c r="B8" s="2" t="s">
        <v>268</v>
      </c>
      <c r="C8" s="2" t="s">
        <v>742</v>
      </c>
      <c r="D8" s="2" t="s">
        <v>743</v>
      </c>
    </row>
    <row r="9" spans="1:4" x14ac:dyDescent="0.35">
      <c r="A9" s="2" t="s">
        <v>744</v>
      </c>
      <c r="B9" s="2" t="s">
        <v>433</v>
      </c>
      <c r="C9" s="2" t="s">
        <v>745</v>
      </c>
      <c r="D9" s="2" t="s">
        <v>746</v>
      </c>
    </row>
    <row r="10" spans="1:4" x14ac:dyDescent="0.35">
      <c r="A10" s="2" t="s">
        <v>744</v>
      </c>
      <c r="B10" s="2" t="s">
        <v>434</v>
      </c>
      <c r="C10" s="2" t="s">
        <v>747</v>
      </c>
      <c r="D10" s="2" t="s">
        <v>746</v>
      </c>
    </row>
    <row r="11" spans="1:4" x14ac:dyDescent="0.35">
      <c r="A11" s="2" t="s">
        <v>744</v>
      </c>
      <c r="B11" s="2" t="s">
        <v>435</v>
      </c>
      <c r="C11" s="2" t="s">
        <v>748</v>
      </c>
      <c r="D11" s="2" t="s">
        <v>749</v>
      </c>
    </row>
    <row r="12" spans="1:4" x14ac:dyDescent="0.35">
      <c r="A12" s="2" t="s">
        <v>744</v>
      </c>
      <c r="B12" s="2" t="s">
        <v>443</v>
      </c>
      <c r="C12" s="2" t="s">
        <v>750</v>
      </c>
      <c r="D12" s="2" t="s">
        <v>751</v>
      </c>
    </row>
    <row r="13" spans="1:4" x14ac:dyDescent="0.35">
      <c r="A13" s="2" t="s">
        <v>744</v>
      </c>
      <c r="B13" s="2" t="s">
        <v>752</v>
      </c>
      <c r="C13" s="2" t="s">
        <v>753</v>
      </c>
      <c r="D13" s="2" t="s">
        <v>754</v>
      </c>
    </row>
    <row r="14" spans="1:4" x14ac:dyDescent="0.35">
      <c r="A14" s="2" t="s">
        <v>755</v>
      </c>
      <c r="B14" s="2" t="s">
        <v>558</v>
      </c>
      <c r="C14" s="2" t="s">
        <v>756</v>
      </c>
      <c r="D14" s="2" t="s">
        <v>757</v>
      </c>
    </row>
  </sheetData>
  <pageMargins left="0.75" right="0.75" top="1" bottom="1" header="0.5" footer="0.5"/>
  <pageSetup fitToHeight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Project_Overview</vt:lpstr>
      <vt:lpstr>Management_Summary</vt:lpstr>
      <vt:lpstr>Control_Master</vt:lpstr>
      <vt:lpstr>Gap_Assessment</vt:lpstr>
      <vt:lpstr>Risk_Register</vt:lpstr>
      <vt:lpstr>Remediation_Tracker</vt:lpstr>
      <vt:lpstr>Evidence_Index</vt:lpstr>
      <vt:lpstr>Lookup_Lists</vt:lpstr>
      <vt:lpstr>Data_Dictionary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Anshul Verma</dc:creator>
  <cp:lastModifiedBy>Anshul Verma</cp:lastModifiedBy>
  <dcterms:created xsi:type="dcterms:W3CDTF">2026-08-11T15:06:07Z</dcterms:created>
  <dcterms:modified xsi:type="dcterms:W3CDTF">2026-08-12T11:00:01Z</dcterms:modified>
</cp:coreProperties>
</file>